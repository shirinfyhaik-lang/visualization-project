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p\OneDrive\Documents\"/>
    </mc:Choice>
  </mc:AlternateContent>
  <xr:revisionPtr revIDLastSave="0" documentId="8_{725252CA-95C8-407F-B330-6DD8BBFFBE68}" xr6:coauthVersionLast="47" xr6:coauthVersionMax="47" xr10:uidLastSave="{00000000-0000-0000-0000-000000000000}"/>
  <bookViews>
    <workbookView xWindow="-108" yWindow="-108" windowWidth="23256" windowHeight="13176" activeTab="2" xr2:uid="{00000000-000D-0000-FFFF-FFFF00000000}"/>
  </bookViews>
  <sheets>
    <sheet name="Raw Data" sheetId="1" r:id="rId1"/>
    <sheet name="Sheet1" sheetId="3" r:id="rId2"/>
    <sheet name="Summary" sheetId="2" r:id="rId3"/>
  </sheets>
  <definedNames>
    <definedName name="Slicer_Category">#N/A</definedName>
    <definedName name="Slicer_Typ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1" l="1"/>
  <c r="E36" i="3"/>
  <c r="E34" i="3"/>
  <c r="E31" i="3"/>
  <c r="L5" i="2" l="1"/>
  <c r="P5" i="2"/>
  <c r="N5" i="2"/>
  <c r="B76" i="3"/>
  <c r="B77" i="3"/>
  <c r="B75" i="3"/>
</calcChain>
</file>

<file path=xl/sharedStrings.xml><?xml version="1.0" encoding="utf-8"?>
<sst xmlns="http://schemas.openxmlformats.org/spreadsheetml/2006/main" count="513" uniqueCount="40">
  <si>
    <t>Month</t>
  </si>
  <si>
    <t>Category</t>
  </si>
  <si>
    <t>Type</t>
  </si>
  <si>
    <t>Amount</t>
  </si>
  <si>
    <t>Payment_Mode</t>
  </si>
  <si>
    <t>May</t>
  </si>
  <si>
    <t>Salary</t>
  </si>
  <si>
    <t>Income</t>
  </si>
  <si>
    <t>Bank Transfer</t>
  </si>
  <si>
    <t>Aug</t>
  </si>
  <si>
    <t>Healthcare</t>
  </si>
  <si>
    <t>Expense</t>
  </si>
  <si>
    <t>Mar</t>
  </si>
  <si>
    <t>Apr</t>
  </si>
  <si>
    <t>Entertainment</t>
  </si>
  <si>
    <t>Card</t>
  </si>
  <si>
    <t>Jan</t>
  </si>
  <si>
    <t>Bills</t>
  </si>
  <si>
    <t>Dec</t>
  </si>
  <si>
    <t>Freelance</t>
  </si>
  <si>
    <t>Cash</t>
  </si>
  <si>
    <t>Jun</t>
  </si>
  <si>
    <t>Food</t>
  </si>
  <si>
    <t>Rent</t>
  </si>
  <si>
    <t>Sep</t>
  </si>
  <si>
    <t>UPI</t>
  </si>
  <si>
    <t>Transport</t>
  </si>
  <si>
    <t>Oct</t>
  </si>
  <si>
    <t>Feb</t>
  </si>
  <si>
    <t>Jul</t>
  </si>
  <si>
    <t>Nov</t>
  </si>
  <si>
    <t>Shopping</t>
  </si>
  <si>
    <t>Sum of Amount</t>
  </si>
  <si>
    <t>Row Labels</t>
  </si>
  <si>
    <t>Grand Total</t>
  </si>
  <si>
    <t>Column Labels</t>
  </si>
  <si>
    <t>(All)</t>
  </si>
  <si>
    <t>TOTAL EXPENSE</t>
  </si>
  <si>
    <t>TOTAL SAVINGS</t>
  </si>
  <si>
    <t>TOTAL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</si>
</sst>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2"/>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Border="1"/>
    <xf numFmtId="0" fontId="1" fillId="2" borderId="1" xfId="0" applyFont="1" applyFill="1" applyBorder="1"/>
    <xf numFmtId="0" fontId="0" fillId="2" borderId="1" xfId="0" applyFill="1" applyBorder="1"/>
    <xf numFmtId="0" fontId="2" fillId="2" borderId="1" xfId="0" applyFont="1" applyFill="1" applyBorder="1"/>
    <xf numFmtId="0" fontId="1" fillId="2" borderId="0"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[budget_dashboard_full excel project.xlsx]Sheet1!PivotTable10</c:name>
    <c:fmtId val="2"/>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b="1">
                <a:solidFill>
                  <a:schemeClr val="tx1"/>
                </a:solidFill>
              </a:rPr>
              <a:t>Monthly</a:t>
            </a:r>
            <a:r>
              <a:rPr lang="en-US" sz="2400" b="1" baseline="0">
                <a:solidFill>
                  <a:schemeClr val="tx1"/>
                </a:solidFill>
              </a:rPr>
              <a:t> Expense  Trend</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57418902024436"/>
          <c:y val="0.24877775609799116"/>
          <c:w val="0.69574013554712344"/>
          <c:h val="0.52265923527676084"/>
        </c:manualLayout>
      </c:layout>
      <c:lineChart>
        <c:grouping val="standard"/>
        <c:varyColors val="0"/>
        <c:ser>
          <c:idx val="0"/>
          <c:order val="0"/>
          <c:tx>
            <c:strRef>
              <c:f>Sheet1!$B$1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General</c:formatCode>
                <c:ptCount val="12"/>
                <c:pt idx="0">
                  <c:v>100899</c:v>
                </c:pt>
                <c:pt idx="1">
                  <c:v>99287</c:v>
                </c:pt>
                <c:pt idx="2">
                  <c:v>49677</c:v>
                </c:pt>
                <c:pt idx="3">
                  <c:v>154957</c:v>
                </c:pt>
                <c:pt idx="4">
                  <c:v>93420</c:v>
                </c:pt>
                <c:pt idx="5">
                  <c:v>10064</c:v>
                </c:pt>
                <c:pt idx="6">
                  <c:v>76875</c:v>
                </c:pt>
                <c:pt idx="7">
                  <c:v>38405</c:v>
                </c:pt>
                <c:pt idx="8">
                  <c:v>13454</c:v>
                </c:pt>
                <c:pt idx="9">
                  <c:v>83938</c:v>
                </c:pt>
                <c:pt idx="10">
                  <c:v>156042</c:v>
                </c:pt>
                <c:pt idx="11">
                  <c:v>151337</c:v>
                </c:pt>
              </c:numCache>
            </c:numRef>
          </c:val>
          <c:smooth val="0"/>
          <c:extLst>
            <c:ext xmlns:c16="http://schemas.microsoft.com/office/drawing/2014/chart" uri="{C3380CC4-5D6E-409C-BE32-E72D297353CC}">
              <c16:uniqueId val="{00000000-B82C-4EA4-A7B2-9D56EFCAB2C1}"/>
            </c:ext>
          </c:extLst>
        </c:ser>
        <c:dLbls>
          <c:showLegendKey val="0"/>
          <c:showVal val="0"/>
          <c:showCatName val="0"/>
          <c:showSerName val="0"/>
          <c:showPercent val="0"/>
          <c:showBubbleSize val="0"/>
        </c:dLbls>
        <c:marker val="1"/>
        <c:smooth val="0"/>
        <c:axId val="1284899328"/>
        <c:axId val="1284899808"/>
      </c:lineChart>
      <c:catAx>
        <c:axId val="12848993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899808"/>
        <c:crosses val="autoZero"/>
        <c:auto val="1"/>
        <c:lblAlgn val="ctr"/>
        <c:lblOffset val="100"/>
        <c:noMultiLvlLbl val="0"/>
      </c:catAx>
      <c:valAx>
        <c:axId val="1284899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89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[budget_dashboard_full excel project.xlsx]Sheet1!PivotTable13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a:solidFill>
                  <a:schemeClr val="tx1"/>
                </a:solidFill>
              </a:rPr>
              <a:t>Total Expense</a:t>
            </a:r>
            <a:r>
              <a:rPr lang="en-IN" sz="2400" baseline="0">
                <a:solidFill>
                  <a:schemeClr val="tx1"/>
                </a:solidFill>
              </a:rPr>
              <a:t> vs Income</a:t>
            </a:r>
            <a:endParaRPr lang="en-IN" sz="24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Sheet1!$A$47:$A$49</c:f>
              <c:strCache>
                <c:ptCount val="2"/>
                <c:pt idx="0">
                  <c:v>Expense</c:v>
                </c:pt>
                <c:pt idx="1">
                  <c:v>Income</c:v>
                </c:pt>
              </c:strCache>
            </c:strRef>
          </c:cat>
          <c:val>
            <c:numRef>
              <c:f>Sheet1!$B$47:$B$49</c:f>
              <c:numCache>
                <c:formatCode>General</c:formatCode>
                <c:ptCount val="2"/>
                <c:pt idx="0">
                  <c:v>206918</c:v>
                </c:pt>
                <c:pt idx="1">
                  <c:v>821437</c:v>
                </c:pt>
              </c:numCache>
            </c:numRef>
          </c:val>
          <c:extLst>
            <c:ext xmlns:c16="http://schemas.microsoft.com/office/drawing/2014/chart" uri="{C3380CC4-5D6E-409C-BE32-E72D297353CC}">
              <c16:uniqueId val="{00000000-B75E-4A96-BA41-57BBCC7271D8}"/>
            </c:ext>
          </c:extLst>
        </c:ser>
        <c:dLbls>
          <c:showLegendKey val="0"/>
          <c:showVal val="0"/>
          <c:showCatName val="0"/>
          <c:showSerName val="0"/>
          <c:showPercent val="0"/>
          <c:showBubbleSize val="0"/>
        </c:dLbls>
        <c:gapWidth val="100"/>
        <c:overlap val="-24"/>
        <c:axId val="1244540912"/>
        <c:axId val="1244546672"/>
      </c:barChart>
      <c:catAx>
        <c:axId val="1244540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546672"/>
        <c:crosses val="autoZero"/>
        <c:auto val="1"/>
        <c:lblAlgn val="ctr"/>
        <c:lblOffset val="100"/>
        <c:noMultiLvlLbl val="0"/>
      </c:catAx>
      <c:valAx>
        <c:axId val="1244546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54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[budget_dashboard_full excel project.xlsx]Sheet1!PivotTable12</c:name>
    <c:fmtId val="3"/>
  </c:pivotSource>
  <c:chart>
    <c:title>
      <c:tx>
        <c:rich>
          <a:bodyPr rot="0" spcFirstLastPara="1" vertOverflow="ellipsis" vert="horz" wrap="square" anchor="ctr" anchorCtr="1"/>
          <a:lstStyle/>
          <a:p>
            <a:pPr algn="l">
              <a:defRPr sz="1600" b="1" i="0" u="none" strike="noStrike" kern="1200" spc="100" baseline="0">
                <a:solidFill>
                  <a:schemeClr val="accent1"/>
                </a:solidFill>
                <a:effectLst>
                  <a:outerShdw blurRad="50800" dist="38100" dir="5400000" algn="t" rotWithShape="0">
                    <a:prstClr val="black">
                      <a:alpha val="40000"/>
                    </a:prstClr>
                  </a:outerShdw>
                </a:effectLst>
                <a:latin typeface="+mn-lt"/>
                <a:ea typeface="+mn-ea"/>
                <a:cs typeface="+mn-cs"/>
              </a:defRPr>
            </a:pPr>
            <a:r>
              <a:rPr lang="en-US" sz="2400" b="1">
                <a:solidFill>
                  <a:schemeClr val="tx1"/>
                </a:solidFill>
              </a:rPr>
              <a:t>Category</a:t>
            </a:r>
            <a:r>
              <a:rPr lang="en-US" sz="2400" b="1" baseline="0">
                <a:solidFill>
                  <a:schemeClr val="tx1"/>
                </a:solidFill>
              </a:rPr>
              <a:t> wise expense</a:t>
            </a:r>
            <a:endParaRPr lang="en-US" sz="2400" b="1">
              <a:solidFill>
                <a:schemeClr val="tx1"/>
              </a:solidFill>
            </a:endParaRPr>
          </a:p>
        </c:rich>
      </c:tx>
      <c:overlay val="0"/>
      <c:spPr>
        <a:noFill/>
        <a:ln>
          <a:noFill/>
        </a:ln>
        <a:effectLst>
          <a:softEdge rad="88900"/>
        </a:effectLst>
      </c:spPr>
      <c:txPr>
        <a:bodyPr rot="0" spcFirstLastPara="1" vertOverflow="ellipsis" vert="horz" wrap="square" anchor="ctr" anchorCtr="1"/>
        <a:lstStyle/>
        <a:p>
          <a:pPr algn="l">
            <a:defRPr sz="1600" b="1" i="0" u="none" strike="noStrike" kern="1200" spc="100" baseline="0">
              <a:solidFill>
                <a:schemeClr val="accen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Sheet1!$B$36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B92-4AD5-B106-DF433771681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B92-4AD5-B106-DF433771681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B92-4AD5-B106-DF433771681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B92-4AD5-B106-DF4337716812}"/>
              </c:ext>
            </c:extLst>
          </c:dPt>
          <c:cat>
            <c:strRef>
              <c:f>Sheet1!$A$37:$A$41</c:f>
              <c:strCache>
                <c:ptCount val="4"/>
                <c:pt idx="0">
                  <c:v>Bank Transfer</c:v>
                </c:pt>
                <c:pt idx="1">
                  <c:v>Card</c:v>
                </c:pt>
                <c:pt idx="2">
                  <c:v>Cash</c:v>
                </c:pt>
                <c:pt idx="3">
                  <c:v>UPI</c:v>
                </c:pt>
              </c:strCache>
            </c:strRef>
          </c:cat>
          <c:val>
            <c:numRef>
              <c:f>Sheet1!$B$37:$B$41</c:f>
              <c:numCache>
                <c:formatCode>General</c:formatCode>
                <c:ptCount val="4"/>
                <c:pt idx="0">
                  <c:v>389839</c:v>
                </c:pt>
                <c:pt idx="1">
                  <c:v>260627</c:v>
                </c:pt>
                <c:pt idx="2">
                  <c:v>160585</c:v>
                </c:pt>
                <c:pt idx="3">
                  <c:v>217304</c:v>
                </c:pt>
              </c:numCache>
            </c:numRef>
          </c:val>
          <c:extLst>
            <c:ext xmlns:c16="http://schemas.microsoft.com/office/drawing/2014/chart" uri="{C3380CC4-5D6E-409C-BE32-E72D297353CC}">
              <c16:uniqueId val="{00000008-3B92-4AD5-B106-DF43377168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[budget_dashboard_full excel project.xlsx]Sheet1!PivotTable16</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solidFill>
                  <a:schemeClr val="tx1"/>
                </a:solidFill>
              </a:rPr>
              <a:t>Top</a:t>
            </a:r>
            <a:r>
              <a:rPr lang="en-US" sz="2400" baseline="0">
                <a:solidFill>
                  <a:schemeClr val="tx1"/>
                </a:solidFill>
              </a:rPr>
              <a:t> 3 Month Expense</a:t>
            </a:r>
            <a:endParaRPr lang="en-US" sz="24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Sheet1!$B$58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59-4A11-A6CC-793D723DF2A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59-4A11-A6CC-793D723DF2A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359-4A11-A6CC-793D723DF2A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359-4A11-A6CC-793D723DF2A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359-4A11-A6CC-793D723DF2A4}"/>
              </c:ext>
            </c:extLst>
          </c:dPt>
          <c:cat>
            <c:strRef>
              <c:f>Sheet1!$A$59:$A$64</c:f>
              <c:strCache>
                <c:ptCount val="5"/>
                <c:pt idx="0">
                  <c:v>Jan</c:v>
                </c:pt>
                <c:pt idx="1">
                  <c:v>Feb</c:v>
                </c:pt>
                <c:pt idx="2">
                  <c:v>Apr</c:v>
                </c:pt>
                <c:pt idx="3">
                  <c:v>Nov</c:v>
                </c:pt>
                <c:pt idx="4">
                  <c:v>Dec</c:v>
                </c:pt>
              </c:strCache>
            </c:strRef>
          </c:cat>
          <c:val>
            <c:numRef>
              <c:f>Sheet1!$B$59:$B$64</c:f>
              <c:numCache>
                <c:formatCode>General</c:formatCode>
                <c:ptCount val="5"/>
                <c:pt idx="0">
                  <c:v>100899</c:v>
                </c:pt>
                <c:pt idx="1">
                  <c:v>99287</c:v>
                </c:pt>
                <c:pt idx="2">
                  <c:v>154957</c:v>
                </c:pt>
                <c:pt idx="3">
                  <c:v>156042</c:v>
                </c:pt>
                <c:pt idx="4">
                  <c:v>151337</c:v>
                </c:pt>
              </c:numCache>
            </c:numRef>
          </c:val>
          <c:extLst>
            <c:ext xmlns:c16="http://schemas.microsoft.com/office/drawing/2014/chart" uri="{C3380CC4-5D6E-409C-BE32-E72D297353CC}">
              <c16:uniqueId val="{0000000A-5359-4A11-A6CC-793D723DF2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[budget_dashboard_full excel project.xlsx]Sheet1!PivotTable18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a:solidFill>
                  <a:schemeClr val="tx1"/>
                </a:solidFill>
              </a:rPr>
              <a:t>Monthly</a:t>
            </a:r>
            <a:r>
              <a:rPr lang="en-IN" sz="2400" baseline="0">
                <a:solidFill>
                  <a:schemeClr val="tx1"/>
                </a:solidFill>
              </a:rPr>
              <a:t> Expense Trend</a:t>
            </a:r>
            <a:endParaRPr lang="en-IN" sz="24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Sheet1!$E$58:$E$59</c:f>
              <c:strCache>
                <c:ptCount val="1"/>
                <c:pt idx="0">
                  <c:v>Bills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Sheet1!$D$60:$D$72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Sheet1!$E$60:$E$72</c:f>
              <c:numCache>
                <c:formatCode>General</c:formatCode>
                <c:ptCount val="12"/>
                <c:pt idx="0">
                  <c:v>1632</c:v>
                </c:pt>
                <c:pt idx="2">
                  <c:v>5106</c:v>
                </c:pt>
                <c:pt idx="3">
                  <c:v>941</c:v>
                </c:pt>
                <c:pt idx="4">
                  <c:v>3903</c:v>
                </c:pt>
                <c:pt idx="6">
                  <c:v>5161</c:v>
                </c:pt>
                <c:pt idx="7">
                  <c:v>4864</c:v>
                </c:pt>
                <c:pt idx="8">
                  <c:v>9415</c:v>
                </c:pt>
                <c:pt idx="9">
                  <c:v>2577</c:v>
                </c:pt>
              </c:numCache>
            </c:numRef>
          </c:val>
          <c:extLst>
            <c:ext xmlns:c16="http://schemas.microsoft.com/office/drawing/2014/chart" uri="{C3380CC4-5D6E-409C-BE32-E72D297353CC}">
              <c16:uniqueId val="{00000000-8DAA-4E53-B643-048138F97950}"/>
            </c:ext>
          </c:extLst>
        </c:ser>
        <c:ser>
          <c:idx val="1"/>
          <c:order val="1"/>
          <c:tx>
            <c:strRef>
              <c:f>Sheet1!$F$58:$F$59</c:f>
              <c:strCache>
                <c:ptCount val="1"/>
                <c:pt idx="0">
                  <c:v>Entertainment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Sheet1!$D$60:$D$72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Sheet1!$F$60:$F$72</c:f>
              <c:numCache>
                <c:formatCode>General</c:formatCode>
                <c:ptCount val="12"/>
                <c:pt idx="0">
                  <c:v>5779</c:v>
                </c:pt>
                <c:pt idx="1">
                  <c:v>4395</c:v>
                </c:pt>
                <c:pt idx="2">
                  <c:v>12386</c:v>
                </c:pt>
                <c:pt idx="3">
                  <c:v>3855</c:v>
                </c:pt>
                <c:pt idx="4">
                  <c:v>2834</c:v>
                </c:pt>
                <c:pt idx="6">
                  <c:v>2900</c:v>
                </c:pt>
                <c:pt idx="7">
                  <c:v>2802</c:v>
                </c:pt>
                <c:pt idx="8">
                  <c:v>2088</c:v>
                </c:pt>
                <c:pt idx="10">
                  <c:v>5833</c:v>
                </c:pt>
              </c:numCache>
            </c:numRef>
          </c:val>
          <c:extLst>
            <c:ext xmlns:c16="http://schemas.microsoft.com/office/drawing/2014/chart" uri="{C3380CC4-5D6E-409C-BE32-E72D297353CC}">
              <c16:uniqueId val="{00000019-8DAA-4E53-B643-048138F97950}"/>
            </c:ext>
          </c:extLst>
        </c:ser>
        <c:ser>
          <c:idx val="2"/>
          <c:order val="2"/>
          <c:tx>
            <c:strRef>
              <c:f>Sheet1!$G$58:$G$59</c:f>
              <c:strCache>
                <c:ptCount val="1"/>
                <c:pt idx="0">
                  <c:v>Food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Sheet1!$D$60:$D$72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Sheet1!$G$60:$G$72</c:f>
              <c:numCache>
                <c:formatCode>General</c:formatCode>
                <c:ptCount val="12"/>
                <c:pt idx="0">
                  <c:v>2782</c:v>
                </c:pt>
                <c:pt idx="1">
                  <c:v>4314</c:v>
                </c:pt>
                <c:pt idx="2">
                  <c:v>3227</c:v>
                </c:pt>
                <c:pt idx="3">
                  <c:v>4393</c:v>
                </c:pt>
                <c:pt idx="4">
                  <c:v>7893</c:v>
                </c:pt>
                <c:pt idx="5">
                  <c:v>5416</c:v>
                </c:pt>
                <c:pt idx="8">
                  <c:v>395</c:v>
                </c:pt>
                <c:pt idx="11">
                  <c:v>3544</c:v>
                </c:pt>
              </c:numCache>
            </c:numRef>
          </c:val>
          <c:extLst>
            <c:ext xmlns:c16="http://schemas.microsoft.com/office/drawing/2014/chart" uri="{C3380CC4-5D6E-409C-BE32-E72D297353CC}">
              <c16:uniqueId val="{0000001A-8DAA-4E53-B643-048138F97950}"/>
            </c:ext>
          </c:extLst>
        </c:ser>
        <c:ser>
          <c:idx val="3"/>
          <c:order val="3"/>
          <c:tx>
            <c:strRef>
              <c:f>Sheet1!$H$58:$H$59</c:f>
              <c:strCache>
                <c:ptCount val="1"/>
                <c:pt idx="0">
                  <c:v>Freelance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Sheet1!$D$60:$D$72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Sheet1!$H$60:$H$72</c:f>
              <c:numCache>
                <c:formatCode>General</c:formatCode>
                <c:ptCount val="12"/>
                <c:pt idx="0">
                  <c:v>41429</c:v>
                </c:pt>
                <c:pt idx="1">
                  <c:v>79391</c:v>
                </c:pt>
                <c:pt idx="3">
                  <c:v>63297</c:v>
                </c:pt>
                <c:pt idx="7">
                  <c:v>20168</c:v>
                </c:pt>
                <c:pt idx="10">
                  <c:v>146833</c:v>
                </c:pt>
                <c:pt idx="11">
                  <c:v>88888</c:v>
                </c:pt>
              </c:numCache>
            </c:numRef>
          </c:val>
          <c:extLst>
            <c:ext xmlns:c16="http://schemas.microsoft.com/office/drawing/2014/chart" uri="{C3380CC4-5D6E-409C-BE32-E72D297353CC}">
              <c16:uniqueId val="{0000001B-8DAA-4E53-B643-048138F97950}"/>
            </c:ext>
          </c:extLst>
        </c:ser>
        <c:ser>
          <c:idx val="4"/>
          <c:order val="4"/>
          <c:tx>
            <c:strRef>
              <c:f>Sheet1!$I$58:$I$59</c:f>
              <c:strCache>
                <c:ptCount val="1"/>
                <c:pt idx="0">
                  <c:v>Healthcare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Sheet1!$D$60:$D$72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Sheet1!$I$60:$I$72</c:f>
              <c:numCache>
                <c:formatCode>General</c:formatCode>
                <c:ptCount val="12"/>
                <c:pt idx="0">
                  <c:v>7484</c:v>
                </c:pt>
                <c:pt idx="1">
                  <c:v>3453</c:v>
                </c:pt>
                <c:pt idx="2">
                  <c:v>4294</c:v>
                </c:pt>
                <c:pt idx="3">
                  <c:v>1215</c:v>
                </c:pt>
                <c:pt idx="4">
                  <c:v>1655</c:v>
                </c:pt>
                <c:pt idx="5">
                  <c:v>3359</c:v>
                </c:pt>
                <c:pt idx="6">
                  <c:v>9094</c:v>
                </c:pt>
                <c:pt idx="7">
                  <c:v>6880</c:v>
                </c:pt>
              </c:numCache>
            </c:numRef>
          </c:val>
          <c:extLst>
            <c:ext xmlns:c16="http://schemas.microsoft.com/office/drawing/2014/chart" uri="{C3380CC4-5D6E-409C-BE32-E72D297353CC}">
              <c16:uniqueId val="{0000001C-8DAA-4E53-B643-048138F97950}"/>
            </c:ext>
          </c:extLst>
        </c:ser>
        <c:ser>
          <c:idx val="5"/>
          <c:order val="5"/>
          <c:tx>
            <c:strRef>
              <c:f>Sheet1!$J$58:$J$59</c:f>
              <c:strCache>
                <c:ptCount val="1"/>
                <c:pt idx="0">
                  <c:v>Rent</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Sheet1!$D$60:$D$72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Sheet1!$J$60:$J$72</c:f>
              <c:numCache>
                <c:formatCode>General</c:formatCode>
                <c:ptCount val="12"/>
                <c:pt idx="0">
                  <c:v>3896</c:v>
                </c:pt>
                <c:pt idx="3">
                  <c:v>426</c:v>
                </c:pt>
                <c:pt idx="4">
                  <c:v>3480</c:v>
                </c:pt>
                <c:pt idx="5">
                  <c:v>1289</c:v>
                </c:pt>
                <c:pt idx="7">
                  <c:v>890</c:v>
                </c:pt>
                <c:pt idx="8">
                  <c:v>1556</c:v>
                </c:pt>
                <c:pt idx="10">
                  <c:v>2955</c:v>
                </c:pt>
              </c:numCache>
            </c:numRef>
          </c:val>
          <c:extLst>
            <c:ext xmlns:c16="http://schemas.microsoft.com/office/drawing/2014/chart" uri="{C3380CC4-5D6E-409C-BE32-E72D297353CC}">
              <c16:uniqueId val="{0000001D-8DAA-4E53-B643-048138F97950}"/>
            </c:ext>
          </c:extLst>
        </c:ser>
        <c:ser>
          <c:idx val="6"/>
          <c:order val="6"/>
          <c:tx>
            <c:strRef>
              <c:f>Sheet1!$K$58:$K$59</c:f>
              <c:strCache>
                <c:ptCount val="1"/>
                <c:pt idx="0">
                  <c:v>Salary</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Sheet1!$D$60:$D$72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Sheet1!$K$60:$K$72</c:f>
              <c:numCache>
                <c:formatCode>General</c:formatCode>
                <c:ptCount val="12"/>
                <c:pt idx="0">
                  <c:v>31428</c:v>
                </c:pt>
                <c:pt idx="2">
                  <c:v>21031</c:v>
                </c:pt>
                <c:pt idx="3">
                  <c:v>71542</c:v>
                </c:pt>
                <c:pt idx="4">
                  <c:v>66014</c:v>
                </c:pt>
                <c:pt idx="6">
                  <c:v>59720</c:v>
                </c:pt>
                <c:pt idx="9">
                  <c:v>77114</c:v>
                </c:pt>
                <c:pt idx="11">
                  <c:v>54582</c:v>
                </c:pt>
              </c:numCache>
            </c:numRef>
          </c:val>
          <c:extLst>
            <c:ext xmlns:c16="http://schemas.microsoft.com/office/drawing/2014/chart" uri="{C3380CC4-5D6E-409C-BE32-E72D297353CC}">
              <c16:uniqueId val="{0000001E-8DAA-4E53-B643-048138F97950}"/>
            </c:ext>
          </c:extLst>
        </c:ser>
        <c:ser>
          <c:idx val="7"/>
          <c:order val="7"/>
          <c:tx>
            <c:strRef>
              <c:f>Sheet1!$L$58:$L$59</c:f>
              <c:strCache>
                <c:ptCount val="1"/>
                <c:pt idx="0">
                  <c:v>Shopping</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Sheet1!$D$60:$D$72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Sheet1!$L$60:$L$72</c:f>
              <c:numCache>
                <c:formatCode>General</c:formatCode>
                <c:ptCount val="12"/>
                <c:pt idx="2">
                  <c:v>2267</c:v>
                </c:pt>
                <c:pt idx="3">
                  <c:v>6288</c:v>
                </c:pt>
                <c:pt idx="4">
                  <c:v>3596</c:v>
                </c:pt>
                <c:pt idx="7">
                  <c:v>1992</c:v>
                </c:pt>
                <c:pt idx="9">
                  <c:v>4247</c:v>
                </c:pt>
                <c:pt idx="10">
                  <c:v>421</c:v>
                </c:pt>
              </c:numCache>
            </c:numRef>
          </c:val>
          <c:extLst>
            <c:ext xmlns:c16="http://schemas.microsoft.com/office/drawing/2014/chart" uri="{C3380CC4-5D6E-409C-BE32-E72D297353CC}">
              <c16:uniqueId val="{0000001F-8DAA-4E53-B643-048138F97950}"/>
            </c:ext>
          </c:extLst>
        </c:ser>
        <c:ser>
          <c:idx val="8"/>
          <c:order val="8"/>
          <c:tx>
            <c:strRef>
              <c:f>Sheet1!$M$58:$M$59</c:f>
              <c:strCache>
                <c:ptCount val="1"/>
                <c:pt idx="0">
                  <c:v>Transport</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Sheet1!$D$60:$D$72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Sheet1!$M$60:$M$72</c:f>
              <c:numCache>
                <c:formatCode>General</c:formatCode>
                <c:ptCount val="12"/>
                <c:pt idx="0">
                  <c:v>6469</c:v>
                </c:pt>
                <c:pt idx="1">
                  <c:v>7734</c:v>
                </c:pt>
                <c:pt idx="2">
                  <c:v>1366</c:v>
                </c:pt>
                <c:pt idx="3">
                  <c:v>3000</c:v>
                </c:pt>
                <c:pt idx="4">
                  <c:v>4045</c:v>
                </c:pt>
                <c:pt idx="7">
                  <c:v>809</c:v>
                </c:pt>
                <c:pt idx="11">
                  <c:v>4323</c:v>
                </c:pt>
              </c:numCache>
            </c:numRef>
          </c:val>
          <c:extLst>
            <c:ext xmlns:c16="http://schemas.microsoft.com/office/drawing/2014/chart" uri="{C3380CC4-5D6E-409C-BE32-E72D297353CC}">
              <c16:uniqueId val="{00000020-8DAA-4E53-B643-048138F97950}"/>
            </c:ext>
          </c:extLst>
        </c:ser>
        <c:dLbls>
          <c:showLegendKey val="0"/>
          <c:showVal val="0"/>
          <c:showCatName val="0"/>
          <c:showSerName val="0"/>
          <c:showPercent val="0"/>
          <c:showBubbleSize val="0"/>
        </c:dLbls>
        <c:gapWidth val="150"/>
        <c:overlap val="100"/>
        <c:axId val="1319458272"/>
        <c:axId val="1319458752"/>
      </c:barChart>
      <c:catAx>
        <c:axId val="131945827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458752"/>
        <c:crosses val="autoZero"/>
        <c:auto val="1"/>
        <c:lblAlgn val="ctr"/>
        <c:lblOffset val="100"/>
        <c:noMultiLvlLbl val="0"/>
      </c:catAx>
      <c:valAx>
        <c:axId val="13194587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45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63501</xdr:colOff>
      <xdr:row>21</xdr:row>
      <xdr:rowOff>163285</xdr:rowOff>
    </xdr:from>
    <xdr:to>
      <xdr:col>9</xdr:col>
      <xdr:colOff>396241</xdr:colOff>
      <xdr:row>42</xdr:row>
      <xdr:rowOff>59375</xdr:rowOff>
    </xdr:to>
    <xdr:graphicFrame macro="">
      <xdr:nvGraphicFramePr>
        <xdr:cNvPr id="2" name="Chart 1">
          <a:extLst>
            <a:ext uri="{FF2B5EF4-FFF2-40B4-BE49-F238E27FC236}">
              <a16:creationId xmlns:a16="http://schemas.microsoft.com/office/drawing/2014/main" id="{4902DD3F-A163-4221-93BD-77F33DC1F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60961</xdr:colOff>
      <xdr:row>5</xdr:row>
      <xdr:rowOff>121920</xdr:rowOff>
    </xdr:from>
    <xdr:to>
      <xdr:col>13</xdr:col>
      <xdr:colOff>1595121</xdr:colOff>
      <xdr:row>21</xdr:row>
      <xdr:rowOff>58481</xdr:rowOff>
    </xdr:to>
    <xdr:graphicFrame macro="">
      <xdr:nvGraphicFramePr>
        <xdr:cNvPr id="3" name="Chart 2">
          <a:extLst>
            <a:ext uri="{FF2B5EF4-FFF2-40B4-BE49-F238E27FC236}">
              <a16:creationId xmlns:a16="http://schemas.microsoft.com/office/drawing/2014/main" id="{11E1F2F7-339D-41AF-A64A-BE3389B9D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93617</xdr:colOff>
      <xdr:row>5</xdr:row>
      <xdr:rowOff>138545</xdr:rowOff>
    </xdr:from>
    <xdr:to>
      <xdr:col>6</xdr:col>
      <xdr:colOff>599440</xdr:colOff>
      <xdr:row>21</xdr:row>
      <xdr:rowOff>107769</xdr:rowOff>
    </xdr:to>
    <xdr:graphicFrame macro="">
      <xdr:nvGraphicFramePr>
        <xdr:cNvPr id="4" name="Chart 3">
          <a:extLst>
            <a:ext uri="{FF2B5EF4-FFF2-40B4-BE49-F238E27FC236}">
              <a16:creationId xmlns:a16="http://schemas.microsoft.com/office/drawing/2014/main" id="{F7DDE7E9-3257-46D2-A1E0-D844195D3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20</xdr:col>
      <xdr:colOff>386246</xdr:colOff>
      <xdr:row>5</xdr:row>
      <xdr:rowOff>106759</xdr:rowOff>
    </xdr:from>
    <xdr:to>
      <xdr:col>24</xdr:col>
      <xdr:colOff>49480</xdr:colOff>
      <xdr:row>19</xdr:row>
      <xdr:rowOff>134780</xdr:rowOff>
    </xdr:to>
    <mc:AlternateContent xmlns:mc="http://schemas.openxmlformats.org/markup-compatibility/2006">
      <mc:Choice xmlns:a14="http://schemas.microsoft.com/office/drawing/2010/main" Requires="a14">
        <xdr:graphicFrame macro="">
          <xdr:nvGraphicFramePr>
            <xdr:cNvPr id="7" name="Type">
              <a:extLst>
                <a:ext uri="{FF2B5EF4-FFF2-40B4-BE49-F238E27FC236}">
                  <a16:creationId xmlns:a16="http://schemas.microsoft.com/office/drawing/2014/main" id="{C19C60A9-4C73-4BAC-B42F-A2ECE8A7AA71}"/>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8826646" y="1238873"/>
              <a:ext cx="2101634" cy="2618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427429</xdr:colOff>
      <xdr:row>20</xdr:row>
      <xdr:rowOff>65315</xdr:rowOff>
    </xdr:from>
    <xdr:to>
      <xdr:col>24</xdr:col>
      <xdr:colOff>143553</xdr:colOff>
      <xdr:row>42</xdr:row>
      <xdr:rowOff>52152</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1AF0FBD7-C827-4E23-8E3E-C7FF90964C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867829" y="3973286"/>
              <a:ext cx="2154524" cy="4058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158339</xdr:colOff>
      <xdr:row>1</xdr:row>
      <xdr:rowOff>118753</xdr:rowOff>
    </xdr:from>
    <xdr:to>
      <xdr:col>9</xdr:col>
      <xdr:colOff>351693</xdr:colOff>
      <xdr:row>5</xdr:row>
      <xdr:rowOff>9769</xdr:rowOff>
    </xdr:to>
    <xdr:sp macro="" textlink="">
      <xdr:nvSpPr>
        <xdr:cNvPr id="9" name="TextBox 8">
          <a:extLst>
            <a:ext uri="{FF2B5EF4-FFF2-40B4-BE49-F238E27FC236}">
              <a16:creationId xmlns:a16="http://schemas.microsoft.com/office/drawing/2014/main" id="{20AB919E-24A2-7B41-8694-41A4213C8CB4}"/>
            </a:ext>
          </a:extLst>
        </xdr:cNvPr>
        <xdr:cNvSpPr txBox="1"/>
      </xdr:nvSpPr>
      <xdr:spPr>
        <a:xfrm>
          <a:off x="158339" y="296883"/>
          <a:ext cx="8575354" cy="821250"/>
        </a:xfrm>
        <a:prstGeom prst="rect">
          <a:avLst/>
        </a:prstGeom>
        <a:solidFill>
          <a:schemeClr val="lt1">
            <a:alpha val="21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tx2">
                  <a:lumMod val="50000"/>
                </a:schemeClr>
              </a:solidFill>
              <a:latin typeface="Cascadia Code" panose="020B0609020000020004" pitchFamily="49" charset="0"/>
              <a:ea typeface="Cascadia Code" panose="020B0609020000020004" pitchFamily="49" charset="0"/>
              <a:cs typeface="Cascadia Code" panose="020B0609020000020004" pitchFamily="49" charset="0"/>
            </a:rPr>
            <a:t>FINANCIAL YEAR BUDGET PLANNER</a:t>
          </a:r>
        </a:p>
      </xdr:txBody>
    </xdr:sp>
    <xdr:clientData/>
  </xdr:twoCellAnchor>
  <xdr:twoCellAnchor>
    <xdr:from>
      <xdr:col>13</xdr:col>
      <xdr:colOff>1656081</xdr:colOff>
      <xdr:row>5</xdr:row>
      <xdr:rowOff>101601</xdr:rowOff>
    </xdr:from>
    <xdr:to>
      <xdr:col>20</xdr:col>
      <xdr:colOff>284480</xdr:colOff>
      <xdr:row>21</xdr:row>
      <xdr:rowOff>26505</xdr:rowOff>
    </xdr:to>
    <xdr:graphicFrame macro="">
      <xdr:nvGraphicFramePr>
        <xdr:cNvPr id="10" name="Chart 9">
          <a:extLst>
            <a:ext uri="{FF2B5EF4-FFF2-40B4-BE49-F238E27FC236}">
              <a16:creationId xmlns:a16="http://schemas.microsoft.com/office/drawing/2014/main" id="{92CB4F0A-161E-4690-8EC3-8FF88B1C2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457201</xdr:colOff>
      <xdr:row>21</xdr:row>
      <xdr:rowOff>162560</xdr:rowOff>
    </xdr:from>
    <xdr:to>
      <xdr:col>20</xdr:col>
      <xdr:colOff>314960</xdr:colOff>
      <xdr:row>42</xdr:row>
      <xdr:rowOff>0</xdr:rowOff>
    </xdr:to>
    <xdr:graphicFrame macro="">
      <xdr:nvGraphicFramePr>
        <xdr:cNvPr id="11" name="Chart 10">
          <a:extLst>
            <a:ext uri="{FF2B5EF4-FFF2-40B4-BE49-F238E27FC236}">
              <a16:creationId xmlns:a16="http://schemas.microsoft.com/office/drawing/2014/main" id="{5B9723A9-5138-4BFD-83C0-8B99B7FBA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9.880100810187" createdVersion="8" refreshedVersion="8" minRefreshableVersion="3" recordCount="100" xr:uid="{6C4B6A73-447B-474A-B738-DA7E27E528F8}">
  <cacheSource type="worksheet">
    <worksheetSource ref="A1:F101" sheet="Raw Data"/>
  </cacheSource>
  <cacheFields count="6">
    <cacheField name="Month" numFmtId="0">
      <sharedItems count="12">
        <s v="May"/>
        <s v="Aug"/>
        <s v="Mar"/>
        <s v="Apr"/>
        <s v="Jan"/>
        <s v="Dec"/>
        <s v="Jun"/>
        <s v="Sep"/>
        <s v="Oct"/>
        <s v="Feb"/>
        <s v="Jul"/>
        <s v="Nov"/>
      </sharedItems>
    </cacheField>
    <cacheField name="Category" numFmtId="0">
      <sharedItems count="9">
        <s v="Salary"/>
        <s v="Healthcare"/>
        <s v="Entertainment"/>
        <s v="Bills"/>
        <s v="Freelance"/>
        <s v="Food"/>
        <s v="Rent"/>
        <s v="Transport"/>
        <s v="Shopping"/>
      </sharedItems>
    </cacheField>
    <cacheField name="Type" numFmtId="0">
      <sharedItems count="2">
        <s v="Income"/>
        <s v="Expense"/>
      </sharedItems>
    </cacheField>
    <cacheField name="Amount" numFmtId="0">
      <sharedItems containsSemiMixedTypes="0" containsString="0" containsNumber="1" containsInteger="1" minValue="296" maxValue="71542" count="100">
        <n v="41774"/>
        <n v="1273"/>
        <n v="4294"/>
        <n v="3855"/>
        <n v="1632"/>
        <n v="67658"/>
        <n v="1544"/>
        <n v="2834"/>
        <n v="296"/>
        <n v="4951"/>
        <n v="54582"/>
        <n v="385"/>
        <n v="3427"/>
        <n v="4045"/>
        <n v="2802"/>
        <n v="71542"/>
        <n v="2376"/>
        <n v="3518"/>
        <n v="4244"/>
        <n v="2391"/>
        <n v="31808"/>
        <n v="2088"/>
        <n v="578"/>
        <n v="3000"/>
        <n v="3372"/>
        <n v="31899"/>
        <n v="1180"/>
        <n v="2111"/>
        <n v="3412"/>
        <n v="2095"/>
        <n v="21230"/>
        <n v="3968"/>
        <n v="2488"/>
        <n v="966"/>
        <n v="941"/>
        <n v="59720"/>
        <n v="426"/>
        <n v="2865"/>
        <n v="395"/>
        <n v="1502"/>
        <n v="21031"/>
        <n v="4307"/>
        <n v="3669"/>
        <n v="809"/>
        <n v="1655"/>
        <n v="24530"/>
        <n v="2228"/>
        <n v="1705"/>
        <n v="4285"/>
        <n v="1992"/>
        <n v="20168"/>
        <n v="876"/>
        <n v="3453"/>
        <n v="3596"/>
        <n v="4077"/>
        <n v="24240"/>
        <n v="421"/>
        <n v="2380"/>
        <n v="2900"/>
        <n v="4247"/>
        <n v="22632"/>
        <n v="4323"/>
        <n v="3359"/>
        <n v="3872"/>
        <n v="1366"/>
        <n v="56759"/>
        <n v="2782"/>
        <n v="3600"/>
        <n v="3512"/>
        <n v="488"/>
        <n v="65476"/>
        <n v="4481"/>
        <n v="1756"/>
        <n v="847"/>
        <n v="1556"/>
        <n v="41429"/>
        <n v="862"/>
        <n v="3736"/>
        <n v="4764"/>
        <n v="4395"/>
        <n v="20776"/>
        <n v="3544"/>
        <n v="3480"/>
        <n v="2089"/>
        <n v="2267"/>
        <n v="63297"/>
        <n v="4464"/>
        <n v="890"/>
        <n v="1215"/>
        <n v="2832"/>
        <n v="31428"/>
        <n v="4542"/>
        <n v="2041"/>
        <n v="818"/>
        <n v="1289"/>
        <n v="49458"/>
        <n v="3738"/>
        <n v="2955"/>
        <n v="3136"/>
        <n v="4065"/>
      </sharedItems>
    </cacheField>
    <cacheField name="Payment_Mode" numFmtId="0">
      <sharedItems count="4">
        <s v="Bank Transfer"/>
        <s v="Card"/>
        <s v="Cash"/>
        <s v="UPI"/>
      </sharedItems>
    </cacheField>
    <cacheField name="Field6" caption="Field6" numFmtId="0">
      <sharedItems containsNonDate="0" containsString="0" containsBlank="1" count="1">
        <m/>
      </sharedItems>
    </cacheField>
  </cacheFields>
  <extLst>
    <ext xmlns:x14="http://schemas.microsoft.com/office/spreadsheetml/2009/9/main" uri="{725AE2AE-9491-48be-B2B4-4EB974FC3084}">
      <x14:pivotCacheDefinition pivotCacheId="1272973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r>
  <r>
    <x v="1"/>
    <x v="1"/>
    <x v="1"/>
    <x v="1"/>
    <x v="0"/>
    <x v="0"/>
  </r>
  <r>
    <x v="2"/>
    <x v="1"/>
    <x v="1"/>
    <x v="2"/>
    <x v="0"/>
    <x v="0"/>
  </r>
  <r>
    <x v="3"/>
    <x v="2"/>
    <x v="1"/>
    <x v="3"/>
    <x v="1"/>
    <x v="0"/>
  </r>
  <r>
    <x v="4"/>
    <x v="3"/>
    <x v="1"/>
    <x v="4"/>
    <x v="0"/>
    <x v="0"/>
  </r>
  <r>
    <x v="5"/>
    <x v="4"/>
    <x v="0"/>
    <x v="5"/>
    <x v="2"/>
    <x v="0"/>
  </r>
  <r>
    <x v="6"/>
    <x v="5"/>
    <x v="1"/>
    <x v="6"/>
    <x v="1"/>
    <x v="0"/>
  </r>
  <r>
    <x v="0"/>
    <x v="2"/>
    <x v="1"/>
    <x v="7"/>
    <x v="2"/>
    <x v="0"/>
  </r>
  <r>
    <x v="4"/>
    <x v="6"/>
    <x v="1"/>
    <x v="8"/>
    <x v="1"/>
    <x v="0"/>
  </r>
  <r>
    <x v="7"/>
    <x v="3"/>
    <x v="1"/>
    <x v="9"/>
    <x v="0"/>
    <x v="0"/>
  </r>
  <r>
    <x v="5"/>
    <x v="0"/>
    <x v="0"/>
    <x v="10"/>
    <x v="1"/>
    <x v="0"/>
  </r>
  <r>
    <x v="0"/>
    <x v="3"/>
    <x v="1"/>
    <x v="11"/>
    <x v="3"/>
    <x v="0"/>
  </r>
  <r>
    <x v="3"/>
    <x v="5"/>
    <x v="1"/>
    <x v="12"/>
    <x v="2"/>
    <x v="0"/>
  </r>
  <r>
    <x v="0"/>
    <x v="7"/>
    <x v="1"/>
    <x v="13"/>
    <x v="3"/>
    <x v="0"/>
  </r>
  <r>
    <x v="1"/>
    <x v="2"/>
    <x v="1"/>
    <x v="14"/>
    <x v="2"/>
    <x v="0"/>
  </r>
  <r>
    <x v="3"/>
    <x v="0"/>
    <x v="0"/>
    <x v="15"/>
    <x v="0"/>
    <x v="0"/>
  </r>
  <r>
    <x v="1"/>
    <x v="3"/>
    <x v="1"/>
    <x v="16"/>
    <x v="3"/>
    <x v="0"/>
  </r>
  <r>
    <x v="0"/>
    <x v="3"/>
    <x v="1"/>
    <x v="17"/>
    <x v="1"/>
    <x v="0"/>
  </r>
  <r>
    <x v="2"/>
    <x v="3"/>
    <x v="1"/>
    <x v="18"/>
    <x v="0"/>
    <x v="0"/>
  </r>
  <r>
    <x v="4"/>
    <x v="1"/>
    <x v="1"/>
    <x v="19"/>
    <x v="3"/>
    <x v="0"/>
  </r>
  <r>
    <x v="8"/>
    <x v="0"/>
    <x v="0"/>
    <x v="20"/>
    <x v="0"/>
    <x v="0"/>
  </r>
  <r>
    <x v="7"/>
    <x v="2"/>
    <x v="1"/>
    <x v="21"/>
    <x v="3"/>
    <x v="0"/>
  </r>
  <r>
    <x v="9"/>
    <x v="5"/>
    <x v="1"/>
    <x v="22"/>
    <x v="0"/>
    <x v="0"/>
  </r>
  <r>
    <x v="3"/>
    <x v="7"/>
    <x v="1"/>
    <x v="23"/>
    <x v="2"/>
    <x v="0"/>
  </r>
  <r>
    <x v="10"/>
    <x v="1"/>
    <x v="1"/>
    <x v="24"/>
    <x v="3"/>
    <x v="0"/>
  </r>
  <r>
    <x v="11"/>
    <x v="4"/>
    <x v="0"/>
    <x v="25"/>
    <x v="1"/>
    <x v="0"/>
  </r>
  <r>
    <x v="10"/>
    <x v="1"/>
    <x v="1"/>
    <x v="26"/>
    <x v="3"/>
    <x v="0"/>
  </r>
  <r>
    <x v="2"/>
    <x v="2"/>
    <x v="1"/>
    <x v="27"/>
    <x v="0"/>
    <x v="0"/>
  </r>
  <r>
    <x v="0"/>
    <x v="5"/>
    <x v="1"/>
    <x v="28"/>
    <x v="2"/>
    <x v="0"/>
  </r>
  <r>
    <x v="1"/>
    <x v="1"/>
    <x v="1"/>
    <x v="29"/>
    <x v="3"/>
    <x v="0"/>
  </r>
  <r>
    <x v="5"/>
    <x v="4"/>
    <x v="0"/>
    <x v="30"/>
    <x v="3"/>
    <x v="0"/>
  </r>
  <r>
    <x v="3"/>
    <x v="8"/>
    <x v="1"/>
    <x v="31"/>
    <x v="0"/>
    <x v="0"/>
  </r>
  <r>
    <x v="1"/>
    <x v="3"/>
    <x v="1"/>
    <x v="32"/>
    <x v="1"/>
    <x v="0"/>
  </r>
  <r>
    <x v="3"/>
    <x v="5"/>
    <x v="1"/>
    <x v="33"/>
    <x v="2"/>
    <x v="0"/>
  </r>
  <r>
    <x v="3"/>
    <x v="3"/>
    <x v="1"/>
    <x v="34"/>
    <x v="1"/>
    <x v="0"/>
  </r>
  <r>
    <x v="10"/>
    <x v="0"/>
    <x v="0"/>
    <x v="35"/>
    <x v="3"/>
    <x v="0"/>
  </r>
  <r>
    <x v="3"/>
    <x v="6"/>
    <x v="1"/>
    <x v="36"/>
    <x v="2"/>
    <x v="0"/>
  </r>
  <r>
    <x v="4"/>
    <x v="1"/>
    <x v="1"/>
    <x v="37"/>
    <x v="0"/>
    <x v="0"/>
  </r>
  <r>
    <x v="7"/>
    <x v="5"/>
    <x v="1"/>
    <x v="38"/>
    <x v="2"/>
    <x v="0"/>
  </r>
  <r>
    <x v="3"/>
    <x v="8"/>
    <x v="1"/>
    <x v="39"/>
    <x v="1"/>
    <x v="0"/>
  </r>
  <r>
    <x v="2"/>
    <x v="0"/>
    <x v="0"/>
    <x v="40"/>
    <x v="3"/>
    <x v="0"/>
  </r>
  <r>
    <x v="2"/>
    <x v="2"/>
    <x v="1"/>
    <x v="41"/>
    <x v="2"/>
    <x v="0"/>
  </r>
  <r>
    <x v="9"/>
    <x v="7"/>
    <x v="1"/>
    <x v="42"/>
    <x v="0"/>
    <x v="0"/>
  </r>
  <r>
    <x v="1"/>
    <x v="7"/>
    <x v="1"/>
    <x v="43"/>
    <x v="3"/>
    <x v="0"/>
  </r>
  <r>
    <x v="0"/>
    <x v="1"/>
    <x v="1"/>
    <x v="44"/>
    <x v="3"/>
    <x v="0"/>
  </r>
  <r>
    <x v="8"/>
    <x v="0"/>
    <x v="0"/>
    <x v="45"/>
    <x v="2"/>
    <x v="0"/>
  </r>
  <r>
    <x v="4"/>
    <x v="1"/>
    <x v="1"/>
    <x v="46"/>
    <x v="1"/>
    <x v="0"/>
  </r>
  <r>
    <x v="4"/>
    <x v="7"/>
    <x v="1"/>
    <x v="47"/>
    <x v="2"/>
    <x v="0"/>
  </r>
  <r>
    <x v="10"/>
    <x v="3"/>
    <x v="1"/>
    <x v="48"/>
    <x v="0"/>
    <x v="0"/>
  </r>
  <r>
    <x v="1"/>
    <x v="8"/>
    <x v="1"/>
    <x v="49"/>
    <x v="3"/>
    <x v="0"/>
  </r>
  <r>
    <x v="1"/>
    <x v="4"/>
    <x v="0"/>
    <x v="50"/>
    <x v="0"/>
    <x v="0"/>
  </r>
  <r>
    <x v="10"/>
    <x v="3"/>
    <x v="1"/>
    <x v="51"/>
    <x v="0"/>
    <x v="0"/>
  </r>
  <r>
    <x v="9"/>
    <x v="1"/>
    <x v="1"/>
    <x v="52"/>
    <x v="0"/>
    <x v="0"/>
  </r>
  <r>
    <x v="0"/>
    <x v="8"/>
    <x v="1"/>
    <x v="53"/>
    <x v="3"/>
    <x v="0"/>
  </r>
  <r>
    <x v="11"/>
    <x v="2"/>
    <x v="1"/>
    <x v="54"/>
    <x v="1"/>
    <x v="0"/>
  </r>
  <r>
    <x v="0"/>
    <x v="0"/>
    <x v="0"/>
    <x v="55"/>
    <x v="3"/>
    <x v="0"/>
  </r>
  <r>
    <x v="11"/>
    <x v="8"/>
    <x v="1"/>
    <x v="56"/>
    <x v="1"/>
    <x v="0"/>
  </r>
  <r>
    <x v="2"/>
    <x v="5"/>
    <x v="1"/>
    <x v="57"/>
    <x v="0"/>
    <x v="0"/>
  </r>
  <r>
    <x v="10"/>
    <x v="2"/>
    <x v="1"/>
    <x v="58"/>
    <x v="3"/>
    <x v="0"/>
  </r>
  <r>
    <x v="8"/>
    <x v="8"/>
    <x v="1"/>
    <x v="59"/>
    <x v="1"/>
    <x v="0"/>
  </r>
  <r>
    <x v="9"/>
    <x v="4"/>
    <x v="0"/>
    <x v="60"/>
    <x v="1"/>
    <x v="0"/>
  </r>
  <r>
    <x v="5"/>
    <x v="7"/>
    <x v="1"/>
    <x v="61"/>
    <x v="2"/>
    <x v="0"/>
  </r>
  <r>
    <x v="6"/>
    <x v="1"/>
    <x v="1"/>
    <x v="62"/>
    <x v="2"/>
    <x v="0"/>
  </r>
  <r>
    <x v="6"/>
    <x v="5"/>
    <x v="1"/>
    <x v="63"/>
    <x v="1"/>
    <x v="0"/>
  </r>
  <r>
    <x v="2"/>
    <x v="7"/>
    <x v="1"/>
    <x v="64"/>
    <x v="2"/>
    <x v="0"/>
  </r>
  <r>
    <x v="9"/>
    <x v="4"/>
    <x v="0"/>
    <x v="65"/>
    <x v="0"/>
    <x v="0"/>
  </r>
  <r>
    <x v="4"/>
    <x v="5"/>
    <x v="1"/>
    <x v="66"/>
    <x v="1"/>
    <x v="0"/>
  </r>
  <r>
    <x v="4"/>
    <x v="6"/>
    <x v="1"/>
    <x v="67"/>
    <x v="3"/>
    <x v="0"/>
  </r>
  <r>
    <x v="1"/>
    <x v="1"/>
    <x v="1"/>
    <x v="68"/>
    <x v="1"/>
    <x v="0"/>
  </r>
  <r>
    <x v="8"/>
    <x v="3"/>
    <x v="1"/>
    <x v="69"/>
    <x v="1"/>
    <x v="0"/>
  </r>
  <r>
    <x v="11"/>
    <x v="4"/>
    <x v="0"/>
    <x v="70"/>
    <x v="0"/>
    <x v="0"/>
  </r>
  <r>
    <x v="0"/>
    <x v="5"/>
    <x v="1"/>
    <x v="71"/>
    <x v="3"/>
    <x v="0"/>
  </r>
  <r>
    <x v="11"/>
    <x v="2"/>
    <x v="1"/>
    <x v="72"/>
    <x v="2"/>
    <x v="0"/>
  </r>
  <r>
    <x v="2"/>
    <x v="5"/>
    <x v="1"/>
    <x v="73"/>
    <x v="3"/>
    <x v="0"/>
  </r>
  <r>
    <x v="7"/>
    <x v="6"/>
    <x v="1"/>
    <x v="74"/>
    <x v="2"/>
    <x v="0"/>
  </r>
  <r>
    <x v="4"/>
    <x v="4"/>
    <x v="0"/>
    <x v="75"/>
    <x v="1"/>
    <x v="0"/>
  </r>
  <r>
    <x v="2"/>
    <x v="3"/>
    <x v="1"/>
    <x v="76"/>
    <x v="3"/>
    <x v="0"/>
  </r>
  <r>
    <x v="9"/>
    <x v="5"/>
    <x v="1"/>
    <x v="77"/>
    <x v="2"/>
    <x v="0"/>
  </r>
  <r>
    <x v="4"/>
    <x v="7"/>
    <x v="1"/>
    <x v="78"/>
    <x v="0"/>
    <x v="0"/>
  </r>
  <r>
    <x v="9"/>
    <x v="2"/>
    <x v="1"/>
    <x v="79"/>
    <x v="3"/>
    <x v="0"/>
  </r>
  <r>
    <x v="8"/>
    <x v="0"/>
    <x v="0"/>
    <x v="80"/>
    <x v="2"/>
    <x v="0"/>
  </r>
  <r>
    <x v="5"/>
    <x v="5"/>
    <x v="1"/>
    <x v="81"/>
    <x v="1"/>
    <x v="0"/>
  </r>
  <r>
    <x v="0"/>
    <x v="6"/>
    <x v="1"/>
    <x v="82"/>
    <x v="2"/>
    <x v="0"/>
  </r>
  <r>
    <x v="8"/>
    <x v="3"/>
    <x v="1"/>
    <x v="83"/>
    <x v="3"/>
    <x v="0"/>
  </r>
  <r>
    <x v="2"/>
    <x v="8"/>
    <x v="1"/>
    <x v="84"/>
    <x v="2"/>
    <x v="0"/>
  </r>
  <r>
    <x v="3"/>
    <x v="4"/>
    <x v="0"/>
    <x v="85"/>
    <x v="1"/>
    <x v="0"/>
  </r>
  <r>
    <x v="7"/>
    <x v="3"/>
    <x v="1"/>
    <x v="86"/>
    <x v="3"/>
    <x v="0"/>
  </r>
  <r>
    <x v="1"/>
    <x v="6"/>
    <x v="1"/>
    <x v="87"/>
    <x v="1"/>
    <x v="0"/>
  </r>
  <r>
    <x v="3"/>
    <x v="1"/>
    <x v="1"/>
    <x v="88"/>
    <x v="2"/>
    <x v="0"/>
  </r>
  <r>
    <x v="2"/>
    <x v="2"/>
    <x v="1"/>
    <x v="89"/>
    <x v="3"/>
    <x v="0"/>
  </r>
  <r>
    <x v="4"/>
    <x v="0"/>
    <x v="0"/>
    <x v="90"/>
    <x v="3"/>
    <x v="0"/>
  </r>
  <r>
    <x v="10"/>
    <x v="1"/>
    <x v="1"/>
    <x v="91"/>
    <x v="1"/>
    <x v="0"/>
  </r>
  <r>
    <x v="4"/>
    <x v="2"/>
    <x v="1"/>
    <x v="92"/>
    <x v="1"/>
    <x v="0"/>
  </r>
  <r>
    <x v="3"/>
    <x v="8"/>
    <x v="1"/>
    <x v="93"/>
    <x v="0"/>
    <x v="0"/>
  </r>
  <r>
    <x v="6"/>
    <x v="6"/>
    <x v="1"/>
    <x v="94"/>
    <x v="2"/>
    <x v="0"/>
  </r>
  <r>
    <x v="11"/>
    <x v="4"/>
    <x v="0"/>
    <x v="95"/>
    <x v="0"/>
    <x v="0"/>
  </r>
  <r>
    <x v="4"/>
    <x v="2"/>
    <x v="1"/>
    <x v="96"/>
    <x v="0"/>
    <x v="0"/>
  </r>
  <r>
    <x v="11"/>
    <x v="6"/>
    <x v="1"/>
    <x v="97"/>
    <x v="0"/>
    <x v="0"/>
  </r>
  <r>
    <x v="2"/>
    <x v="2"/>
    <x v="1"/>
    <x v="98"/>
    <x v="3"/>
    <x v="0"/>
  </r>
  <r>
    <x v="9"/>
    <x v="7"/>
    <x v="1"/>
    <x v="99"/>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603BBC-2771-4235-AE14-479508E0149D}" name="PivotTable1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58:N72" firstHeaderRow="1" firstDataRow="2" firstDataCol="1"/>
  <pivotFields count="6">
    <pivotField axis="axisRow" showAll="0">
      <items count="13">
        <item x="4"/>
        <item x="9"/>
        <item x="2"/>
        <item x="3"/>
        <item x="0"/>
        <item x="6"/>
        <item x="10"/>
        <item x="1"/>
        <item x="7"/>
        <item x="8"/>
        <item x="11"/>
        <item x="5"/>
        <item t="default"/>
      </items>
    </pivotField>
    <pivotField axis="axisCol" showAll="0">
      <items count="10">
        <item x="3"/>
        <item x="2"/>
        <item x="5"/>
        <item x="4"/>
        <item x="1"/>
        <item x="6"/>
        <item x="0"/>
        <item x="8"/>
        <item x="7"/>
        <item t="default"/>
      </items>
    </pivotField>
    <pivotField showAll="0">
      <items count="3">
        <item x="1"/>
        <item x="0"/>
        <item t="default"/>
      </items>
    </pivotField>
    <pivotField dataField="1" showAll="0"/>
    <pivotField showAll="0"/>
    <pivotField showAll="0"/>
  </pivotFields>
  <rowFields count="1">
    <field x="0"/>
  </rowFields>
  <rowItems count="13">
    <i>
      <x/>
    </i>
    <i>
      <x v="1"/>
    </i>
    <i>
      <x v="2"/>
    </i>
    <i>
      <x v="3"/>
    </i>
    <i>
      <x v="4"/>
    </i>
    <i>
      <x v="5"/>
    </i>
    <i>
      <x v="6"/>
    </i>
    <i>
      <x v="7"/>
    </i>
    <i>
      <x v="8"/>
    </i>
    <i>
      <x v="9"/>
    </i>
    <i>
      <x v="10"/>
    </i>
    <i>
      <x v="11"/>
    </i>
    <i t="grand">
      <x/>
    </i>
  </rowItems>
  <colFields count="1">
    <field x="1"/>
  </colFields>
  <colItems count="10">
    <i>
      <x/>
    </i>
    <i>
      <x v="1"/>
    </i>
    <i>
      <x v="2"/>
    </i>
    <i>
      <x v="3"/>
    </i>
    <i>
      <x v="4"/>
    </i>
    <i>
      <x v="5"/>
    </i>
    <i>
      <x v="6"/>
    </i>
    <i>
      <x v="7"/>
    </i>
    <i>
      <x v="8"/>
    </i>
    <i t="grand">
      <x/>
    </i>
  </colItems>
  <dataFields count="1">
    <dataField name="Sum of Amount" fld="3" baseField="0" baseItem="0"/>
  </dataFields>
  <chartFormats count="28">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6" format="3" series="1">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2">
          <reference field="4294967294" count="1" selected="0">
            <x v="0"/>
          </reference>
          <reference field="1" count="1" selected="0">
            <x v="4"/>
          </reference>
        </references>
      </pivotArea>
    </chartFormat>
    <chartFormat chart="6" format="5" series="1">
      <pivotArea type="data" outline="0" fieldPosition="0">
        <references count="2">
          <reference field="4294967294" count="1" selected="0">
            <x v="0"/>
          </reference>
          <reference field="1" count="1" selected="0">
            <x v="5"/>
          </reference>
        </references>
      </pivotArea>
    </chartFormat>
    <chartFormat chart="6" format="6" series="1">
      <pivotArea type="data" outline="0" fieldPosition="0">
        <references count="2">
          <reference field="4294967294" count="1" selected="0">
            <x v="0"/>
          </reference>
          <reference field="1" count="1" selected="0">
            <x v="6"/>
          </reference>
        </references>
      </pivotArea>
    </chartFormat>
    <chartFormat chart="6" format="7" series="1">
      <pivotArea type="data" outline="0" fieldPosition="0">
        <references count="2">
          <reference field="4294967294" count="1" selected="0">
            <x v="0"/>
          </reference>
          <reference field="1" count="1" selected="0">
            <x v="7"/>
          </reference>
        </references>
      </pivotArea>
    </chartFormat>
    <chartFormat chart="6" format="8" series="1">
      <pivotArea type="data" outline="0" fieldPosition="0">
        <references count="2">
          <reference field="4294967294" count="1" selected="0">
            <x v="0"/>
          </reference>
          <reference field="1" count="1" selected="0">
            <x v="8"/>
          </reference>
        </references>
      </pivotArea>
    </chartFormat>
    <chartFormat chart="9" format="9" series="1">
      <pivotArea type="data" outline="0" fieldPosition="0">
        <references count="2">
          <reference field="4294967294" count="1" selected="0">
            <x v="0"/>
          </reference>
          <reference field="1" count="1" selected="0">
            <x v="0"/>
          </reference>
        </references>
      </pivotArea>
    </chartFormat>
    <chartFormat chart="9" format="10" series="1">
      <pivotArea type="data" outline="0" fieldPosition="0">
        <references count="2">
          <reference field="4294967294" count="1" selected="0">
            <x v="0"/>
          </reference>
          <reference field="1" count="1" selected="0">
            <x v="1"/>
          </reference>
        </references>
      </pivotArea>
    </chartFormat>
    <chartFormat chart="9" format="11" series="1">
      <pivotArea type="data" outline="0" fieldPosition="0">
        <references count="2">
          <reference field="4294967294" count="1" selected="0">
            <x v="0"/>
          </reference>
          <reference field="1" count="1" selected="0">
            <x v="2"/>
          </reference>
        </references>
      </pivotArea>
    </chartFormat>
    <chartFormat chart="9" format="12" series="1">
      <pivotArea type="data" outline="0" fieldPosition="0">
        <references count="2">
          <reference field="4294967294" count="1" selected="0">
            <x v="0"/>
          </reference>
          <reference field="1" count="1" selected="0">
            <x v="3"/>
          </reference>
        </references>
      </pivotArea>
    </chartFormat>
    <chartFormat chart="9" format="13" series="1">
      <pivotArea type="data" outline="0" fieldPosition="0">
        <references count="2">
          <reference field="4294967294" count="1" selected="0">
            <x v="0"/>
          </reference>
          <reference field="1" count="1" selected="0">
            <x v="4"/>
          </reference>
        </references>
      </pivotArea>
    </chartFormat>
    <chartFormat chart="9" format="14" series="1">
      <pivotArea type="data" outline="0" fieldPosition="0">
        <references count="2">
          <reference field="4294967294" count="1" selected="0">
            <x v="0"/>
          </reference>
          <reference field="1" count="1" selected="0">
            <x v="5"/>
          </reference>
        </references>
      </pivotArea>
    </chartFormat>
    <chartFormat chart="9" format="15" series="1">
      <pivotArea type="data" outline="0" fieldPosition="0">
        <references count="2">
          <reference field="4294967294" count="1" selected="0">
            <x v="0"/>
          </reference>
          <reference field="1" count="1" selected="0">
            <x v="6"/>
          </reference>
        </references>
      </pivotArea>
    </chartFormat>
    <chartFormat chart="9" format="16" series="1">
      <pivotArea type="data" outline="0" fieldPosition="0">
        <references count="2">
          <reference field="4294967294" count="1" selected="0">
            <x v="0"/>
          </reference>
          <reference field="1" count="1" selected="0">
            <x v="7"/>
          </reference>
        </references>
      </pivotArea>
    </chartFormat>
    <chartFormat chart="9" format="17" series="1">
      <pivotArea type="data" outline="0" fieldPosition="0">
        <references count="2">
          <reference field="4294967294" count="1" selected="0">
            <x v="0"/>
          </reference>
          <reference field="1" count="1" selected="0">
            <x v="8"/>
          </reference>
        </references>
      </pivotArea>
    </chartFormat>
    <chartFormat chart="10" format="18" series="1">
      <pivotArea type="data" outline="0" fieldPosition="0">
        <references count="2">
          <reference field="4294967294" count="1" selected="0">
            <x v="0"/>
          </reference>
          <reference field="1" count="1" selected="0">
            <x v="0"/>
          </reference>
        </references>
      </pivotArea>
    </chartFormat>
    <chartFormat chart="10" format="19" series="1">
      <pivotArea type="data" outline="0" fieldPosition="0">
        <references count="2">
          <reference field="4294967294" count="1" selected="0">
            <x v="0"/>
          </reference>
          <reference field="1" count="1" selected="0">
            <x v="1"/>
          </reference>
        </references>
      </pivotArea>
    </chartFormat>
    <chartFormat chart="10" format="20" series="1">
      <pivotArea type="data" outline="0" fieldPosition="0">
        <references count="2">
          <reference field="4294967294" count="1" selected="0">
            <x v="0"/>
          </reference>
          <reference field="1" count="1" selected="0">
            <x v="2"/>
          </reference>
        </references>
      </pivotArea>
    </chartFormat>
    <chartFormat chart="10" format="21" series="1">
      <pivotArea type="data" outline="0" fieldPosition="0">
        <references count="2">
          <reference field="4294967294" count="1" selected="0">
            <x v="0"/>
          </reference>
          <reference field="1" count="1" selected="0">
            <x v="3"/>
          </reference>
        </references>
      </pivotArea>
    </chartFormat>
    <chartFormat chart="10" format="22" series="1">
      <pivotArea type="data" outline="0" fieldPosition="0">
        <references count="2">
          <reference field="4294967294" count="1" selected="0">
            <x v="0"/>
          </reference>
          <reference field="1" count="1" selected="0">
            <x v="4"/>
          </reference>
        </references>
      </pivotArea>
    </chartFormat>
    <chartFormat chart="10" format="23" series="1">
      <pivotArea type="data" outline="0" fieldPosition="0">
        <references count="2">
          <reference field="4294967294" count="1" selected="0">
            <x v="0"/>
          </reference>
          <reference field="1" count="1" selected="0">
            <x v="5"/>
          </reference>
        </references>
      </pivotArea>
    </chartFormat>
    <chartFormat chart="10" format="24" series="1">
      <pivotArea type="data" outline="0" fieldPosition="0">
        <references count="2">
          <reference field="4294967294" count="1" selected="0">
            <x v="0"/>
          </reference>
          <reference field="1" count="1" selected="0">
            <x v="6"/>
          </reference>
        </references>
      </pivotArea>
    </chartFormat>
    <chartFormat chart="10" format="25" series="1">
      <pivotArea type="data" outline="0" fieldPosition="0">
        <references count="2">
          <reference field="4294967294" count="1" selected="0">
            <x v="0"/>
          </reference>
          <reference field="1" count="1" selected="0">
            <x v="7"/>
          </reference>
        </references>
      </pivotArea>
    </chartFormat>
    <chartFormat chart="10" format="26" series="1">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E5848E-F06A-4216-B862-E434AD816B02}" name="PivotTable1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B33" firstHeaderRow="1" firstDataRow="1" firstDataCol="1"/>
  <pivotFields count="6">
    <pivotField showAll="0">
      <items count="13">
        <item x="4"/>
        <item x="9"/>
        <item x="2"/>
        <item x="3"/>
        <item x="0"/>
        <item x="6"/>
        <item x="10"/>
        <item x="1"/>
        <item x="7"/>
        <item x="8"/>
        <item x="11"/>
        <item x="5"/>
        <item t="default"/>
      </items>
    </pivotField>
    <pivotField showAll="0">
      <items count="10">
        <item x="3"/>
        <item x="2"/>
        <item x="5"/>
        <item x="4"/>
        <item x="1"/>
        <item x="6"/>
        <item x="0"/>
        <item x="8"/>
        <item x="7"/>
        <item t="default"/>
      </items>
    </pivotField>
    <pivotField axis="axisRow" showAll="0">
      <items count="3">
        <item x="1"/>
        <item x="0"/>
        <item t="default"/>
      </items>
    </pivotField>
    <pivotField dataField="1" showAll="0"/>
    <pivotField showAll="0"/>
    <pivotField showAll="0">
      <items count="2">
        <item x="0"/>
        <item t="default"/>
      </items>
    </pivotField>
  </pivotFields>
  <rowFields count="1">
    <field x="2"/>
  </rowFields>
  <rowItems count="3">
    <i>
      <x/>
    </i>
    <i>
      <x v="1"/>
    </i>
    <i t="grand">
      <x/>
    </i>
  </rowItems>
  <colItems count="1">
    <i/>
  </colItems>
  <dataFields count="1">
    <dataField name="Sum of Amount"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5921E-4DE7-4A61-A6D5-81D5C9CA6E53}" name="PivotTable1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8:B64" firstHeaderRow="1" firstDataRow="1" firstDataCol="1"/>
  <pivotFields count="6">
    <pivotField axis="axisRow" showAll="0" measureFilter="1">
      <items count="13">
        <item x="4"/>
        <item x="9"/>
        <item x="2"/>
        <item x="3"/>
        <item x="0"/>
        <item x="6"/>
        <item x="10"/>
        <item x="1"/>
        <item x="7"/>
        <item x="8"/>
        <item x="11"/>
        <item x="5"/>
        <item t="default"/>
      </items>
    </pivotField>
    <pivotField showAll="0">
      <items count="10">
        <item x="3"/>
        <item x="2"/>
        <item x="5"/>
        <item x="4"/>
        <item x="1"/>
        <item x="6"/>
        <item x="0"/>
        <item x="8"/>
        <item x="7"/>
        <item t="default"/>
      </items>
    </pivotField>
    <pivotField showAll="0">
      <items count="3">
        <item x="1"/>
        <item x="0"/>
        <item t="default"/>
      </items>
    </pivotField>
    <pivotField dataField="1" showAll="0"/>
    <pivotField showAll="0"/>
    <pivotField showAll="0"/>
  </pivotFields>
  <rowFields count="1">
    <field x="0"/>
  </rowFields>
  <rowItems count="6">
    <i>
      <x/>
    </i>
    <i>
      <x v="1"/>
    </i>
    <i>
      <x v="3"/>
    </i>
    <i>
      <x v="10"/>
    </i>
    <i>
      <x v="11"/>
    </i>
    <i t="grand">
      <x/>
    </i>
  </rowItems>
  <colItems count="1">
    <i/>
  </colItems>
  <dataFields count="1">
    <dataField name="Sum of Amount" fld="3" baseField="0" baseItem="0"/>
  </dataField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5" format="27"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0" count="1" selected="0">
            <x v="0"/>
          </reference>
        </references>
      </pivotArea>
    </chartFormat>
    <chartFormat chart="12" format="18">
      <pivotArea type="data" outline="0" fieldPosition="0">
        <references count="2">
          <reference field="4294967294" count="1" selected="0">
            <x v="0"/>
          </reference>
          <reference field="0" count="1" selected="0">
            <x v="1"/>
          </reference>
        </references>
      </pivotArea>
    </chartFormat>
    <chartFormat chart="12" format="19">
      <pivotArea type="data" outline="0" fieldPosition="0">
        <references count="2">
          <reference field="4294967294" count="1" selected="0">
            <x v="0"/>
          </reference>
          <reference field="0" count="1" selected="0">
            <x v="3"/>
          </reference>
        </references>
      </pivotArea>
    </chartFormat>
    <chartFormat chart="12" format="20">
      <pivotArea type="data" outline="0" fieldPosition="0">
        <references count="2">
          <reference field="4294967294" count="1" selected="0">
            <x v="0"/>
          </reference>
          <reference field="0" count="1" selected="0">
            <x v="10"/>
          </reference>
        </references>
      </pivotArea>
    </chartFormat>
    <chartFormat chart="12" format="21">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A340F8-2080-42CD-9163-32C529315E29}" name="PivotTable1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2:B56" firstHeaderRow="1" firstDataRow="1" firstDataCol="1" rowPageCount="1" colPageCount="1"/>
  <pivotFields count="6">
    <pivotField axis="axisRow" showAll="0" measureFilter="1">
      <items count="13">
        <item x="4"/>
        <item x="9"/>
        <item x="2"/>
        <item x="3"/>
        <item x="0"/>
        <item x="6"/>
        <item x="10"/>
        <item x="1"/>
        <item x="7"/>
        <item x="8"/>
        <item x="11"/>
        <item x="5"/>
        <item t="default"/>
      </items>
    </pivotField>
    <pivotField showAll="0">
      <items count="10">
        <item x="3"/>
        <item x="2"/>
        <item x="5"/>
        <item x="4"/>
        <item x="1"/>
        <item x="6"/>
        <item x="0"/>
        <item x="8"/>
        <item x="7"/>
        <item t="default"/>
      </items>
    </pivotField>
    <pivotField axis="axisPage" showAll="0">
      <items count="3">
        <item x="1"/>
        <item x="0"/>
        <item t="default"/>
      </items>
    </pivotField>
    <pivotField dataField="1" showAll="0"/>
    <pivotField showAll="0"/>
    <pivotField showAll="0"/>
  </pivotFields>
  <rowFields count="1">
    <field x="0"/>
  </rowFields>
  <rowItems count="4">
    <i>
      <x v="3"/>
    </i>
    <i>
      <x v="10"/>
    </i>
    <i>
      <x v="11"/>
    </i>
    <i t="grand">
      <x/>
    </i>
  </rowItems>
  <colItems count="1">
    <i/>
  </colItems>
  <pageFields count="1">
    <pageField fld="2" hier="-1"/>
  </pageFields>
  <dataFields count="1">
    <dataField name="Sum of Amou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07E1DF-7D9E-4974-A5BE-EAAA23DCD73C}" name="PivotTable1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F17" firstHeaderRow="1" firstDataRow="1" firstDataCol="1" rowPageCount="1" colPageCount="1"/>
  <pivotFields count="6">
    <pivotField axis="axisRow" showAll="0">
      <items count="13">
        <item x="4"/>
        <item x="9"/>
        <item x="2"/>
        <item x="3"/>
        <item x="0"/>
        <item x="6"/>
        <item x="10"/>
        <item x="1"/>
        <item x="7"/>
        <item x="8"/>
        <item x="11"/>
        <item x="5"/>
        <item t="default"/>
      </items>
    </pivotField>
    <pivotField showAll="0">
      <items count="10">
        <item x="3"/>
        <item x="2"/>
        <item x="5"/>
        <item x="4"/>
        <item x="1"/>
        <item x="6"/>
        <item x="0"/>
        <item x="8"/>
        <item x="7"/>
        <item t="default"/>
      </items>
    </pivotField>
    <pivotField axis="axisPage" showAll="0">
      <items count="3">
        <item x="1"/>
        <item x="0"/>
        <item t="default"/>
      </items>
    </pivotField>
    <pivotField dataField="1" showAll="0"/>
    <pivotField showAll="0"/>
    <pivotField showAll="0"/>
  </pivotFields>
  <rowFields count="1">
    <field x="0"/>
  </rowFields>
  <rowItems count="13">
    <i>
      <x/>
    </i>
    <i>
      <x v="1"/>
    </i>
    <i>
      <x v="2"/>
    </i>
    <i>
      <x v="3"/>
    </i>
    <i>
      <x v="4"/>
    </i>
    <i>
      <x v="5"/>
    </i>
    <i>
      <x v="6"/>
    </i>
    <i>
      <x v="7"/>
    </i>
    <i>
      <x v="8"/>
    </i>
    <i>
      <x v="9"/>
    </i>
    <i>
      <x v="10"/>
    </i>
    <i>
      <x v="11"/>
    </i>
    <i t="grand">
      <x/>
    </i>
  </rowItems>
  <colItems count="1">
    <i/>
  </colItems>
  <pageFields count="1">
    <pageField fld="2" hier="-1"/>
  </pageFields>
  <dataFields count="1">
    <dataField name="Sum of Amount" fld="3" baseField="0" baseItem="0"/>
  </dataFields>
  <chartFormats count="13">
    <chartFormat chart="5" format="5" series="1">
      <pivotArea type="data" outline="0" fieldPosition="0">
        <references count="1">
          <reference field="4294967294" count="1" selected="0">
            <x v="0"/>
          </reference>
        </references>
      </pivotArea>
    </chartFormat>
    <chartFormat chart="5" format="8" series="1">
      <pivotArea type="data" outline="0" fieldPosition="0">
        <references count="2">
          <reference field="4294967294" count="1" selected="0">
            <x v="0"/>
          </reference>
          <reference field="2" count="1" selected="0">
            <x v="1"/>
          </reference>
        </references>
      </pivotArea>
    </chartFormat>
    <chartFormat chart="5" format="9" series="1">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2">
          <reference field="4294967294" count="1" selected="0">
            <x v="0"/>
          </reference>
          <reference field="0" count="1" selected="0">
            <x v="2"/>
          </reference>
        </references>
      </pivotArea>
    </chartFormat>
    <chartFormat chart="5" format="11" series="1">
      <pivotArea type="data" outline="0" fieldPosition="0">
        <references count="2">
          <reference field="4294967294" count="1" selected="0">
            <x v="0"/>
          </reference>
          <reference field="0" count="1" selected="0">
            <x v="3"/>
          </reference>
        </references>
      </pivotArea>
    </chartFormat>
    <chartFormat chart="5" format="12" series="1">
      <pivotArea type="data" outline="0" fieldPosition="0">
        <references count="2">
          <reference field="4294967294" count="1" selected="0">
            <x v="0"/>
          </reference>
          <reference field="0" count="1" selected="0">
            <x v="4"/>
          </reference>
        </references>
      </pivotArea>
    </chartFormat>
    <chartFormat chart="5" format="13" series="1">
      <pivotArea type="data" outline="0" fieldPosition="0">
        <references count="2">
          <reference field="4294967294" count="1" selected="0">
            <x v="0"/>
          </reference>
          <reference field="0" count="1" selected="0">
            <x v="5"/>
          </reference>
        </references>
      </pivotArea>
    </chartFormat>
    <chartFormat chart="5" format="14" series="1">
      <pivotArea type="data" outline="0" fieldPosition="0">
        <references count="2">
          <reference field="4294967294" count="1" selected="0">
            <x v="0"/>
          </reference>
          <reference field="0" count="1" selected="0">
            <x v="6"/>
          </reference>
        </references>
      </pivotArea>
    </chartFormat>
    <chartFormat chart="5" format="15" series="1">
      <pivotArea type="data" outline="0" fieldPosition="0">
        <references count="2">
          <reference field="4294967294" count="1" selected="0">
            <x v="0"/>
          </reference>
          <reference field="0" count="1" selected="0">
            <x v="7"/>
          </reference>
        </references>
      </pivotArea>
    </chartFormat>
    <chartFormat chart="5" format="16" series="1">
      <pivotArea type="data" outline="0" fieldPosition="0">
        <references count="2">
          <reference field="4294967294" count="1" selected="0">
            <x v="0"/>
          </reference>
          <reference field="0" count="1" selected="0">
            <x v="8"/>
          </reference>
        </references>
      </pivotArea>
    </chartFormat>
    <chartFormat chart="5" format="17" series="1">
      <pivotArea type="data" outline="0" fieldPosition="0">
        <references count="2">
          <reference field="4294967294" count="1" selected="0">
            <x v="0"/>
          </reference>
          <reference field="0" count="1" selected="0">
            <x v="9"/>
          </reference>
        </references>
      </pivotArea>
    </chartFormat>
    <chartFormat chart="5" format="18" series="1">
      <pivotArea type="data" outline="0" fieldPosition="0">
        <references count="2">
          <reference field="4294967294" count="1" selected="0">
            <x v="0"/>
          </reference>
          <reference field="0" count="1" selected="0">
            <x v="10"/>
          </reference>
        </references>
      </pivotArea>
    </chartFormat>
    <chartFormat chart="5" format="19" series="1">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FB5B9B-C159-4482-A28A-D132B9BE5A98}"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6:B49" firstHeaderRow="1" firstDataRow="1" firstDataCol="1"/>
  <pivotFields count="6">
    <pivotField showAll="0">
      <items count="13">
        <item x="4"/>
        <item x="9"/>
        <item x="2"/>
        <item x="3"/>
        <item x="0"/>
        <item x="6"/>
        <item x="10"/>
        <item x="1"/>
        <item x="7"/>
        <item x="8"/>
        <item x="11"/>
        <item x="5"/>
        <item t="default"/>
      </items>
    </pivotField>
    <pivotField showAll="0">
      <items count="10">
        <item x="3"/>
        <item x="2"/>
        <item x="5"/>
        <item x="4"/>
        <item x="1"/>
        <item x="6"/>
        <item x="0"/>
        <item x="8"/>
        <item x="7"/>
        <item t="default"/>
      </items>
    </pivotField>
    <pivotField axis="axisRow" showAll="0">
      <items count="3">
        <item x="1"/>
        <item x="0"/>
        <item t="default"/>
      </items>
    </pivotField>
    <pivotField dataField="1" showAll="0"/>
    <pivotField showAll="0"/>
    <pivotField showAll="0">
      <items count="2">
        <item x="0"/>
        <item t="default"/>
      </items>
    </pivotField>
  </pivotFields>
  <rowFields count="1">
    <field x="2"/>
  </rowFields>
  <rowItems count="3">
    <i>
      <x/>
    </i>
    <i>
      <x v="1"/>
    </i>
    <i t="grand">
      <x/>
    </i>
  </rowItems>
  <colItems count="1">
    <i/>
  </colItems>
  <dataFields count="1">
    <dataField name="Sum of Amount"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18F19D-3AC4-4E09-BC10-484E9BA1EEB0}"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B41" firstHeaderRow="1" firstDataRow="1" firstDataCol="1"/>
  <pivotFields count="6">
    <pivotField showAll="0">
      <items count="13">
        <item x="4"/>
        <item x="9"/>
        <item x="2"/>
        <item x="3"/>
        <item x="0"/>
        <item x="6"/>
        <item x="10"/>
        <item x="1"/>
        <item x="7"/>
        <item x="8"/>
        <item x="11"/>
        <item x="5"/>
        <item t="default"/>
      </items>
    </pivotField>
    <pivotField showAll="0">
      <items count="10">
        <item x="3"/>
        <item x="2"/>
        <item x="5"/>
        <item x="4"/>
        <item x="1"/>
        <item x="6"/>
        <item x="0"/>
        <item x="8"/>
        <item x="7"/>
        <item t="default"/>
      </items>
    </pivotField>
    <pivotField showAll="0">
      <items count="3">
        <item x="1"/>
        <item x="0"/>
        <item t="default"/>
      </items>
    </pivotField>
    <pivotField dataField="1" showAll="0"/>
    <pivotField axis="axisRow" showAll="0">
      <items count="5">
        <item x="0"/>
        <item x="1"/>
        <item x="2"/>
        <item x="3"/>
        <item t="default"/>
      </items>
    </pivotField>
    <pivotField showAll="0"/>
  </pivotFields>
  <rowFields count="1">
    <field x="4"/>
  </rowFields>
  <rowItems count="5">
    <i>
      <x/>
    </i>
    <i>
      <x v="1"/>
    </i>
    <i>
      <x v="2"/>
    </i>
    <i>
      <x v="3"/>
    </i>
    <i t="grand">
      <x/>
    </i>
  </rowItems>
  <colItems count="1">
    <i/>
  </colItems>
  <dataFields count="1">
    <dataField name="Sum of Amount" fld="3"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3C7CBC-3CB6-40DC-B1BD-BAE2634A692B}"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B28" firstHeaderRow="1" firstDataRow="1" firstDataCol="1"/>
  <pivotFields count="6">
    <pivotField showAll="0">
      <items count="13">
        <item x="4"/>
        <item x="9"/>
        <item x="2"/>
        <item x="3"/>
        <item x="0"/>
        <item x="6"/>
        <item x="10"/>
        <item x="1"/>
        <item x="7"/>
        <item x="8"/>
        <item x="11"/>
        <item x="5"/>
        <item t="default"/>
      </items>
    </pivotField>
    <pivotField axis="axisRow" showAll="0">
      <items count="10">
        <item x="3"/>
        <item x="2"/>
        <item x="5"/>
        <item x="4"/>
        <item x="1"/>
        <item x="6"/>
        <item x="0"/>
        <item x="8"/>
        <item x="7"/>
        <item t="default"/>
      </items>
    </pivotField>
    <pivotField showAll="0">
      <items count="3">
        <item x="1"/>
        <item x="0"/>
        <item t="default"/>
      </items>
    </pivotField>
    <pivotField dataField="1"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FFD713-39D5-41EE-9B07-D7F17AF45154}"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4" firstHeaderRow="1" firstDataRow="1" firstDataCol="1"/>
  <pivotFields count="6">
    <pivotField axis="axisRow" showAll="0">
      <items count="13">
        <item x="4"/>
        <item x="9"/>
        <item x="2"/>
        <item x="3"/>
        <item x="0"/>
        <item x="6"/>
        <item x="10"/>
        <item x="1"/>
        <item x="7"/>
        <item x="8"/>
        <item x="11"/>
        <item x="5"/>
        <item t="default"/>
      </items>
    </pivotField>
    <pivotField showAll="0">
      <items count="10">
        <item x="3"/>
        <item x="2"/>
        <item x="5"/>
        <item x="4"/>
        <item x="1"/>
        <item x="6"/>
        <item x="0"/>
        <item x="8"/>
        <item x="7"/>
        <item t="default"/>
      </items>
    </pivotField>
    <pivotField showAll="0">
      <items count="3">
        <item x="1"/>
        <item x="0"/>
        <item t="default"/>
      </items>
    </pivotField>
    <pivotField dataField="1"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Amount"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7A2F2C9D-2C96-438A-B1DD-DA0F86CEF294}" sourceName="Type">
  <pivotTables>
    <pivotTable tabId="3" name="PivotTable16"/>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s>
  <data>
    <tabular pivotCacheId="127297374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C12506-3E08-42A9-B979-A0D83A4B4E7B}" sourceName="Category">
  <pivotTables>
    <pivotTable tabId="3" name="PivotTable16"/>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s>
  <data>
    <tabular pivotCacheId="1272973749">
      <items count="9">
        <i x="3" s="1"/>
        <i x="2" s="1"/>
        <i x="5" s="1"/>
        <i x="4" s="1"/>
        <i x="1" s="1"/>
        <i x="6" s="1"/>
        <i x="0"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2F3E5386-6897-40AE-8F6F-736195B7BE4F}" cache="Slicer_Type" caption="Type" rowHeight="234950"/>
  <slicer name="Category" xr10:uid="{E193AFCC-191E-4D26-AAB2-42AF063FD307}"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A26" workbookViewId="0">
      <selection activeCell="H40" sqref="H40"/>
    </sheetView>
  </sheetViews>
  <sheetFormatPr defaultRowHeight="14.4" x14ac:dyDescent="0.3"/>
  <sheetData>
    <row r="1" spans="1:5" x14ac:dyDescent="0.3">
      <c r="A1" t="s">
        <v>0</v>
      </c>
      <c r="B1" t="s">
        <v>1</v>
      </c>
      <c r="C1" t="s">
        <v>2</v>
      </c>
      <c r="D1" t="s">
        <v>3</v>
      </c>
      <c r="E1" t="s">
        <v>4</v>
      </c>
    </row>
    <row r="2" spans="1:5" x14ac:dyDescent="0.3">
      <c r="A2" t="s">
        <v>5</v>
      </c>
      <c r="B2" t="s">
        <v>6</v>
      </c>
      <c r="C2" t="s">
        <v>7</v>
      </c>
      <c r="D2">
        <v>41774</v>
      </c>
      <c r="E2" t="s">
        <v>8</v>
      </c>
    </row>
    <row r="3" spans="1:5" x14ac:dyDescent="0.3">
      <c r="A3" t="s">
        <v>9</v>
      </c>
      <c r="B3" t="s">
        <v>10</v>
      </c>
      <c r="C3" t="s">
        <v>11</v>
      </c>
      <c r="D3">
        <v>1273</v>
      </c>
      <c r="E3" t="s">
        <v>8</v>
      </c>
    </row>
    <row r="4" spans="1:5" x14ac:dyDescent="0.3">
      <c r="A4" t="s">
        <v>12</v>
      </c>
      <c r="B4" t="s">
        <v>10</v>
      </c>
      <c r="C4" t="s">
        <v>11</v>
      </c>
      <c r="D4">
        <v>4294</v>
      </c>
      <c r="E4" t="s">
        <v>8</v>
      </c>
    </row>
    <row r="5" spans="1:5" x14ac:dyDescent="0.3">
      <c r="A5" t="s">
        <v>13</v>
      </c>
      <c r="B5" t="s">
        <v>14</v>
      </c>
      <c r="C5" t="s">
        <v>11</v>
      </c>
      <c r="D5">
        <v>3855</v>
      </c>
      <c r="E5" t="s">
        <v>15</v>
      </c>
    </row>
    <row r="6" spans="1:5" x14ac:dyDescent="0.3">
      <c r="A6" t="s">
        <v>16</v>
      </c>
      <c r="B6" t="s">
        <v>17</v>
      </c>
      <c r="C6" t="s">
        <v>11</v>
      </c>
      <c r="D6">
        <v>1632</v>
      </c>
      <c r="E6" t="s">
        <v>8</v>
      </c>
    </row>
    <row r="7" spans="1:5" x14ac:dyDescent="0.3">
      <c r="A7" t="s">
        <v>18</v>
      </c>
      <c r="B7" t="s">
        <v>19</v>
      </c>
      <c r="C7" t="s">
        <v>7</v>
      </c>
      <c r="D7">
        <v>67658</v>
      </c>
      <c r="E7" t="s">
        <v>20</v>
      </c>
    </row>
    <row r="8" spans="1:5" x14ac:dyDescent="0.3">
      <c r="A8" t="s">
        <v>21</v>
      </c>
      <c r="B8" t="s">
        <v>22</v>
      </c>
      <c r="C8" t="s">
        <v>11</v>
      </c>
      <c r="D8">
        <v>1544</v>
      </c>
      <c r="E8" t="s">
        <v>15</v>
      </c>
    </row>
    <row r="9" spans="1:5" x14ac:dyDescent="0.3">
      <c r="A9" t="s">
        <v>5</v>
      </c>
      <c r="B9" t="s">
        <v>14</v>
      </c>
      <c r="C9" t="s">
        <v>11</v>
      </c>
      <c r="D9">
        <v>2834</v>
      </c>
      <c r="E9" t="s">
        <v>20</v>
      </c>
    </row>
    <row r="10" spans="1:5" x14ac:dyDescent="0.3">
      <c r="A10" t="s">
        <v>16</v>
      </c>
      <c r="B10" t="s">
        <v>23</v>
      </c>
      <c r="C10" t="s">
        <v>11</v>
      </c>
      <c r="D10">
        <v>296</v>
      </c>
      <c r="E10" t="s">
        <v>15</v>
      </c>
    </row>
    <row r="11" spans="1:5" x14ac:dyDescent="0.3">
      <c r="A11" t="s">
        <v>24</v>
      </c>
      <c r="B11" t="s">
        <v>17</v>
      </c>
      <c r="C11" t="s">
        <v>11</v>
      </c>
      <c r="D11">
        <v>4951</v>
      </c>
      <c r="E11" t="s">
        <v>8</v>
      </c>
    </row>
    <row r="12" spans="1:5" x14ac:dyDescent="0.3">
      <c r="A12" t="s">
        <v>18</v>
      </c>
      <c r="B12" t="s">
        <v>6</v>
      </c>
      <c r="C12" t="s">
        <v>7</v>
      </c>
      <c r="D12">
        <v>54582</v>
      </c>
      <c r="E12" t="s">
        <v>15</v>
      </c>
    </row>
    <row r="13" spans="1:5" x14ac:dyDescent="0.3">
      <c r="A13" t="s">
        <v>5</v>
      </c>
      <c r="B13" t="s">
        <v>17</v>
      </c>
      <c r="C13" t="s">
        <v>11</v>
      </c>
      <c r="D13">
        <v>385</v>
      </c>
      <c r="E13" t="s">
        <v>25</v>
      </c>
    </row>
    <row r="14" spans="1:5" x14ac:dyDescent="0.3">
      <c r="A14" t="s">
        <v>13</v>
      </c>
      <c r="B14" t="s">
        <v>22</v>
      </c>
      <c r="C14" t="s">
        <v>11</v>
      </c>
      <c r="D14">
        <v>3427</v>
      </c>
      <c r="E14" t="s">
        <v>20</v>
      </c>
    </row>
    <row r="15" spans="1:5" x14ac:dyDescent="0.3">
      <c r="A15" t="s">
        <v>5</v>
      </c>
      <c r="B15" t="s">
        <v>26</v>
      </c>
      <c r="C15" t="s">
        <v>11</v>
      </c>
      <c r="D15">
        <v>4045</v>
      </c>
      <c r="E15" t="s">
        <v>25</v>
      </c>
    </row>
    <row r="16" spans="1:5" x14ac:dyDescent="0.3">
      <c r="A16" t="s">
        <v>9</v>
      </c>
      <c r="B16" t="s">
        <v>14</v>
      </c>
      <c r="C16" t="s">
        <v>11</v>
      </c>
      <c r="D16">
        <v>2802</v>
      </c>
      <c r="E16" t="s">
        <v>20</v>
      </c>
    </row>
    <row r="17" spans="1:5" x14ac:dyDescent="0.3">
      <c r="A17" t="s">
        <v>13</v>
      </c>
      <c r="B17" t="s">
        <v>6</v>
      </c>
      <c r="C17" t="s">
        <v>7</v>
      </c>
      <c r="D17">
        <v>71542</v>
      </c>
      <c r="E17" t="s">
        <v>8</v>
      </c>
    </row>
    <row r="18" spans="1:5" x14ac:dyDescent="0.3">
      <c r="A18" t="s">
        <v>9</v>
      </c>
      <c r="B18" t="s">
        <v>17</v>
      </c>
      <c r="C18" t="s">
        <v>11</v>
      </c>
      <c r="D18">
        <v>2376</v>
      </c>
      <c r="E18" t="s">
        <v>25</v>
      </c>
    </row>
    <row r="19" spans="1:5" x14ac:dyDescent="0.3">
      <c r="A19" t="s">
        <v>5</v>
      </c>
      <c r="B19" t="s">
        <v>17</v>
      </c>
      <c r="C19" t="s">
        <v>11</v>
      </c>
      <c r="D19">
        <v>3518</v>
      </c>
      <c r="E19" t="s">
        <v>15</v>
      </c>
    </row>
    <row r="20" spans="1:5" x14ac:dyDescent="0.3">
      <c r="A20" t="s">
        <v>12</v>
      </c>
      <c r="B20" t="s">
        <v>17</v>
      </c>
      <c r="C20" t="s">
        <v>11</v>
      </c>
      <c r="D20">
        <v>4244</v>
      </c>
      <c r="E20" t="s">
        <v>8</v>
      </c>
    </row>
    <row r="21" spans="1:5" x14ac:dyDescent="0.3">
      <c r="A21" t="s">
        <v>16</v>
      </c>
      <c r="B21" t="s">
        <v>10</v>
      </c>
      <c r="C21" t="s">
        <v>11</v>
      </c>
      <c r="D21">
        <v>2391</v>
      </c>
      <c r="E21" t="s">
        <v>25</v>
      </c>
    </row>
    <row r="22" spans="1:5" x14ac:dyDescent="0.3">
      <c r="A22" t="s">
        <v>27</v>
      </c>
      <c r="B22" t="s">
        <v>6</v>
      </c>
      <c r="C22" t="s">
        <v>7</v>
      </c>
      <c r="D22">
        <v>31808</v>
      </c>
      <c r="E22" t="s">
        <v>8</v>
      </c>
    </row>
    <row r="23" spans="1:5" x14ac:dyDescent="0.3">
      <c r="A23" t="s">
        <v>24</v>
      </c>
      <c r="B23" t="s">
        <v>14</v>
      </c>
      <c r="C23" t="s">
        <v>11</v>
      </c>
      <c r="D23">
        <v>2088</v>
      </c>
      <c r="E23" t="s">
        <v>25</v>
      </c>
    </row>
    <row r="24" spans="1:5" x14ac:dyDescent="0.3">
      <c r="A24" t="s">
        <v>28</v>
      </c>
      <c r="B24" t="s">
        <v>22</v>
      </c>
      <c r="C24" t="s">
        <v>11</v>
      </c>
      <c r="D24">
        <v>578</v>
      </c>
      <c r="E24" t="s">
        <v>8</v>
      </c>
    </row>
    <row r="25" spans="1:5" x14ac:dyDescent="0.3">
      <c r="A25" t="s">
        <v>13</v>
      </c>
      <c r="B25" t="s">
        <v>26</v>
      </c>
      <c r="C25" t="s">
        <v>11</v>
      </c>
      <c r="D25">
        <v>3000</v>
      </c>
      <c r="E25" t="s">
        <v>20</v>
      </c>
    </row>
    <row r="26" spans="1:5" x14ac:dyDescent="0.3">
      <c r="A26" t="s">
        <v>29</v>
      </c>
      <c r="B26" t="s">
        <v>10</v>
      </c>
      <c r="C26" t="s">
        <v>11</v>
      </c>
      <c r="D26">
        <v>3372</v>
      </c>
      <c r="E26" t="s">
        <v>25</v>
      </c>
    </row>
    <row r="27" spans="1:5" x14ac:dyDescent="0.3">
      <c r="A27" t="s">
        <v>30</v>
      </c>
      <c r="B27" t="s">
        <v>19</v>
      </c>
      <c r="C27" t="s">
        <v>7</v>
      </c>
      <c r="D27">
        <v>31899</v>
      </c>
      <c r="E27" t="s">
        <v>15</v>
      </c>
    </row>
    <row r="28" spans="1:5" x14ac:dyDescent="0.3">
      <c r="A28" t="s">
        <v>29</v>
      </c>
      <c r="B28" t="s">
        <v>10</v>
      </c>
      <c r="C28" t="s">
        <v>11</v>
      </c>
      <c r="D28">
        <v>1180</v>
      </c>
      <c r="E28" t="s">
        <v>25</v>
      </c>
    </row>
    <row r="29" spans="1:5" x14ac:dyDescent="0.3">
      <c r="A29" t="s">
        <v>12</v>
      </c>
      <c r="B29" t="s">
        <v>14</v>
      </c>
      <c r="C29" t="s">
        <v>11</v>
      </c>
      <c r="D29">
        <v>2111</v>
      </c>
      <c r="E29" t="s">
        <v>8</v>
      </c>
    </row>
    <row r="30" spans="1:5" x14ac:dyDescent="0.3">
      <c r="A30" t="s">
        <v>5</v>
      </c>
      <c r="B30" t="s">
        <v>22</v>
      </c>
      <c r="C30" t="s">
        <v>11</v>
      </c>
      <c r="D30">
        <v>3412</v>
      </c>
      <c r="E30" t="s">
        <v>20</v>
      </c>
    </row>
    <row r="31" spans="1:5" x14ac:dyDescent="0.3">
      <c r="A31" t="s">
        <v>9</v>
      </c>
      <c r="B31" t="s">
        <v>10</v>
      </c>
      <c r="C31" t="s">
        <v>11</v>
      </c>
      <c r="D31">
        <v>2095</v>
      </c>
      <c r="E31" t="s">
        <v>25</v>
      </c>
    </row>
    <row r="32" spans="1:5" x14ac:dyDescent="0.3">
      <c r="A32" t="s">
        <v>18</v>
      </c>
      <c r="B32" t="s">
        <v>19</v>
      </c>
      <c r="C32" t="s">
        <v>7</v>
      </c>
      <c r="D32">
        <v>21230</v>
      </c>
      <c r="E32" t="s">
        <v>25</v>
      </c>
    </row>
    <row r="33" spans="1:8" x14ac:dyDescent="0.3">
      <c r="A33" t="s">
        <v>13</v>
      </c>
      <c r="B33" t="s">
        <v>31</v>
      </c>
      <c r="C33" t="s">
        <v>11</v>
      </c>
      <c r="D33">
        <v>3968</v>
      </c>
      <c r="E33" t="s">
        <v>8</v>
      </c>
    </row>
    <row r="34" spans="1:8" x14ac:dyDescent="0.3">
      <c r="A34" t="s">
        <v>9</v>
      </c>
      <c r="B34" t="s">
        <v>17</v>
      </c>
      <c r="C34" t="s">
        <v>11</v>
      </c>
      <c r="D34">
        <v>2488</v>
      </c>
      <c r="E34" t="s">
        <v>15</v>
      </c>
    </row>
    <row r="35" spans="1:8" x14ac:dyDescent="0.3">
      <c r="A35" t="s">
        <v>13</v>
      </c>
      <c r="B35" t="s">
        <v>22</v>
      </c>
      <c r="C35" t="s">
        <v>11</v>
      </c>
      <c r="D35">
        <v>966</v>
      </c>
      <c r="E35" t="s">
        <v>20</v>
      </c>
    </row>
    <row r="36" spans="1:8" x14ac:dyDescent="0.3">
      <c r="A36" t="s">
        <v>13</v>
      </c>
      <c r="B36" t="s">
        <v>17</v>
      </c>
      <c r="C36" t="s">
        <v>11</v>
      </c>
      <c r="D36">
        <v>941</v>
      </c>
      <c r="E36" t="s">
        <v>15</v>
      </c>
    </row>
    <row r="37" spans="1:8" x14ac:dyDescent="0.3">
      <c r="A37" t="s">
        <v>29</v>
      </c>
      <c r="B37" t="s">
        <v>6</v>
      </c>
      <c r="C37" t="s">
        <v>7</v>
      </c>
      <c r="D37">
        <v>59720</v>
      </c>
      <c r="E37" t="s">
        <v>25</v>
      </c>
    </row>
    <row r="38" spans="1:8" x14ac:dyDescent="0.3">
      <c r="A38" t="s">
        <v>13</v>
      </c>
      <c r="B38" t="s">
        <v>23</v>
      </c>
      <c r="C38" t="s">
        <v>11</v>
      </c>
      <c r="D38">
        <v>426</v>
      </c>
      <c r="E38" t="s">
        <v>20</v>
      </c>
    </row>
    <row r="39" spans="1:8" x14ac:dyDescent="0.3">
      <c r="A39" t="s">
        <v>16</v>
      </c>
      <c r="B39" t="s">
        <v>10</v>
      </c>
      <c r="C39" t="s">
        <v>11</v>
      </c>
      <c r="D39">
        <v>2865</v>
      </c>
      <c r="E39" t="s">
        <v>8</v>
      </c>
      <c r="H39">
        <f>SUMIF(C:C,"Expense",D:D)</f>
        <v>206918</v>
      </c>
    </row>
    <row r="40" spans="1:8" x14ac:dyDescent="0.3">
      <c r="A40" t="s">
        <v>24</v>
      </c>
      <c r="B40" t="s">
        <v>22</v>
      </c>
      <c r="C40" t="s">
        <v>11</v>
      </c>
      <c r="D40">
        <v>395</v>
      </c>
      <c r="E40" t="s">
        <v>20</v>
      </c>
    </row>
    <row r="41" spans="1:8" x14ac:dyDescent="0.3">
      <c r="A41" t="s">
        <v>13</v>
      </c>
      <c r="B41" t="s">
        <v>31</v>
      </c>
      <c r="C41" t="s">
        <v>11</v>
      </c>
      <c r="D41">
        <v>1502</v>
      </c>
      <c r="E41" t="s">
        <v>15</v>
      </c>
    </row>
    <row r="42" spans="1:8" x14ac:dyDescent="0.3">
      <c r="A42" t="s">
        <v>12</v>
      </c>
      <c r="B42" t="s">
        <v>6</v>
      </c>
      <c r="C42" t="s">
        <v>7</v>
      </c>
      <c r="D42">
        <v>21031</v>
      </c>
      <c r="E42" t="s">
        <v>25</v>
      </c>
    </row>
    <row r="43" spans="1:8" x14ac:dyDescent="0.3">
      <c r="A43" t="s">
        <v>12</v>
      </c>
      <c r="B43" t="s">
        <v>14</v>
      </c>
      <c r="C43" t="s">
        <v>11</v>
      </c>
      <c r="D43">
        <v>4307</v>
      </c>
      <c r="E43" t="s">
        <v>20</v>
      </c>
    </row>
    <row r="44" spans="1:8" x14ac:dyDescent="0.3">
      <c r="A44" t="s">
        <v>28</v>
      </c>
      <c r="B44" t="s">
        <v>26</v>
      </c>
      <c r="C44" t="s">
        <v>11</v>
      </c>
      <c r="D44">
        <v>3669</v>
      </c>
      <c r="E44" t="s">
        <v>8</v>
      </c>
    </row>
    <row r="45" spans="1:8" x14ac:dyDescent="0.3">
      <c r="A45" t="s">
        <v>9</v>
      </c>
      <c r="B45" t="s">
        <v>26</v>
      </c>
      <c r="C45" t="s">
        <v>11</v>
      </c>
      <c r="D45">
        <v>809</v>
      </c>
      <c r="E45" t="s">
        <v>25</v>
      </c>
    </row>
    <row r="46" spans="1:8" x14ac:dyDescent="0.3">
      <c r="A46" t="s">
        <v>5</v>
      </c>
      <c r="B46" t="s">
        <v>10</v>
      </c>
      <c r="C46" t="s">
        <v>11</v>
      </c>
      <c r="D46">
        <v>1655</v>
      </c>
      <c r="E46" t="s">
        <v>25</v>
      </c>
    </row>
    <row r="47" spans="1:8" x14ac:dyDescent="0.3">
      <c r="A47" t="s">
        <v>27</v>
      </c>
      <c r="B47" t="s">
        <v>6</v>
      </c>
      <c r="C47" t="s">
        <v>7</v>
      </c>
      <c r="D47">
        <v>24530</v>
      </c>
      <c r="E47" t="s">
        <v>20</v>
      </c>
    </row>
    <row r="48" spans="1:8" x14ac:dyDescent="0.3">
      <c r="A48" t="s">
        <v>16</v>
      </c>
      <c r="B48" t="s">
        <v>10</v>
      </c>
      <c r="C48" t="s">
        <v>11</v>
      </c>
      <c r="D48">
        <v>2228</v>
      </c>
      <c r="E48" t="s">
        <v>15</v>
      </c>
    </row>
    <row r="49" spans="1:5" x14ac:dyDescent="0.3">
      <c r="A49" t="s">
        <v>16</v>
      </c>
      <c r="B49" t="s">
        <v>26</v>
      </c>
      <c r="C49" t="s">
        <v>11</v>
      </c>
      <c r="D49">
        <v>1705</v>
      </c>
      <c r="E49" t="s">
        <v>20</v>
      </c>
    </row>
    <row r="50" spans="1:5" x14ac:dyDescent="0.3">
      <c r="A50" t="s">
        <v>29</v>
      </c>
      <c r="B50" t="s">
        <v>17</v>
      </c>
      <c r="C50" t="s">
        <v>11</v>
      </c>
      <c r="D50">
        <v>4285</v>
      </c>
      <c r="E50" t="s">
        <v>8</v>
      </c>
    </row>
    <row r="51" spans="1:5" x14ac:dyDescent="0.3">
      <c r="A51" t="s">
        <v>9</v>
      </c>
      <c r="B51" t="s">
        <v>31</v>
      </c>
      <c r="C51" t="s">
        <v>11</v>
      </c>
      <c r="D51">
        <v>1992</v>
      </c>
      <c r="E51" t="s">
        <v>25</v>
      </c>
    </row>
    <row r="52" spans="1:5" x14ac:dyDescent="0.3">
      <c r="A52" t="s">
        <v>9</v>
      </c>
      <c r="B52" t="s">
        <v>19</v>
      </c>
      <c r="C52" t="s">
        <v>7</v>
      </c>
      <c r="D52">
        <v>20168</v>
      </c>
      <c r="E52" t="s">
        <v>8</v>
      </c>
    </row>
    <row r="53" spans="1:5" x14ac:dyDescent="0.3">
      <c r="A53" t="s">
        <v>29</v>
      </c>
      <c r="B53" t="s">
        <v>17</v>
      </c>
      <c r="C53" t="s">
        <v>11</v>
      </c>
      <c r="D53">
        <v>876</v>
      </c>
      <c r="E53" t="s">
        <v>8</v>
      </c>
    </row>
    <row r="54" spans="1:5" x14ac:dyDescent="0.3">
      <c r="A54" t="s">
        <v>28</v>
      </c>
      <c r="B54" t="s">
        <v>10</v>
      </c>
      <c r="C54" t="s">
        <v>11</v>
      </c>
      <c r="D54">
        <v>3453</v>
      </c>
      <c r="E54" t="s">
        <v>8</v>
      </c>
    </row>
    <row r="55" spans="1:5" x14ac:dyDescent="0.3">
      <c r="A55" t="s">
        <v>5</v>
      </c>
      <c r="B55" t="s">
        <v>31</v>
      </c>
      <c r="C55" t="s">
        <v>11</v>
      </c>
      <c r="D55">
        <v>3596</v>
      </c>
      <c r="E55" t="s">
        <v>25</v>
      </c>
    </row>
    <row r="56" spans="1:5" x14ac:dyDescent="0.3">
      <c r="A56" t="s">
        <v>30</v>
      </c>
      <c r="B56" t="s">
        <v>14</v>
      </c>
      <c r="C56" t="s">
        <v>11</v>
      </c>
      <c r="D56">
        <v>4077</v>
      </c>
      <c r="E56" t="s">
        <v>15</v>
      </c>
    </row>
    <row r="57" spans="1:5" x14ac:dyDescent="0.3">
      <c r="A57" t="s">
        <v>5</v>
      </c>
      <c r="B57" t="s">
        <v>6</v>
      </c>
      <c r="C57" t="s">
        <v>7</v>
      </c>
      <c r="D57">
        <v>24240</v>
      </c>
      <c r="E57" t="s">
        <v>25</v>
      </c>
    </row>
    <row r="58" spans="1:5" x14ac:dyDescent="0.3">
      <c r="A58" t="s">
        <v>30</v>
      </c>
      <c r="B58" t="s">
        <v>31</v>
      </c>
      <c r="C58" t="s">
        <v>11</v>
      </c>
      <c r="D58">
        <v>421</v>
      </c>
      <c r="E58" t="s">
        <v>15</v>
      </c>
    </row>
    <row r="59" spans="1:5" x14ac:dyDescent="0.3">
      <c r="A59" t="s">
        <v>12</v>
      </c>
      <c r="B59" t="s">
        <v>22</v>
      </c>
      <c r="C59" t="s">
        <v>11</v>
      </c>
      <c r="D59">
        <v>2380</v>
      </c>
      <c r="E59" t="s">
        <v>8</v>
      </c>
    </row>
    <row r="60" spans="1:5" x14ac:dyDescent="0.3">
      <c r="A60" t="s">
        <v>29</v>
      </c>
      <c r="B60" t="s">
        <v>14</v>
      </c>
      <c r="C60" t="s">
        <v>11</v>
      </c>
      <c r="D60">
        <v>2900</v>
      </c>
      <c r="E60" t="s">
        <v>25</v>
      </c>
    </row>
    <row r="61" spans="1:5" x14ac:dyDescent="0.3">
      <c r="A61" t="s">
        <v>27</v>
      </c>
      <c r="B61" t="s">
        <v>31</v>
      </c>
      <c r="C61" t="s">
        <v>11</v>
      </c>
      <c r="D61">
        <v>4247</v>
      </c>
      <c r="E61" t="s">
        <v>15</v>
      </c>
    </row>
    <row r="62" spans="1:5" x14ac:dyDescent="0.3">
      <c r="A62" t="s">
        <v>28</v>
      </c>
      <c r="B62" t="s">
        <v>19</v>
      </c>
      <c r="C62" t="s">
        <v>7</v>
      </c>
      <c r="D62">
        <v>22632</v>
      </c>
      <c r="E62" t="s">
        <v>15</v>
      </c>
    </row>
    <row r="63" spans="1:5" x14ac:dyDescent="0.3">
      <c r="A63" t="s">
        <v>18</v>
      </c>
      <c r="B63" t="s">
        <v>26</v>
      </c>
      <c r="C63" t="s">
        <v>11</v>
      </c>
      <c r="D63">
        <v>4323</v>
      </c>
      <c r="E63" t="s">
        <v>20</v>
      </c>
    </row>
    <row r="64" spans="1:5" x14ac:dyDescent="0.3">
      <c r="A64" t="s">
        <v>21</v>
      </c>
      <c r="B64" t="s">
        <v>10</v>
      </c>
      <c r="C64" t="s">
        <v>11</v>
      </c>
      <c r="D64">
        <v>3359</v>
      </c>
      <c r="E64" t="s">
        <v>20</v>
      </c>
    </row>
    <row r="65" spans="1:5" x14ac:dyDescent="0.3">
      <c r="A65" t="s">
        <v>21</v>
      </c>
      <c r="B65" t="s">
        <v>22</v>
      </c>
      <c r="C65" t="s">
        <v>11</v>
      </c>
      <c r="D65">
        <v>3872</v>
      </c>
      <c r="E65" t="s">
        <v>15</v>
      </c>
    </row>
    <row r="66" spans="1:5" x14ac:dyDescent="0.3">
      <c r="A66" t="s">
        <v>12</v>
      </c>
      <c r="B66" t="s">
        <v>26</v>
      </c>
      <c r="C66" t="s">
        <v>11</v>
      </c>
      <c r="D66">
        <v>1366</v>
      </c>
      <c r="E66" t="s">
        <v>20</v>
      </c>
    </row>
    <row r="67" spans="1:5" x14ac:dyDescent="0.3">
      <c r="A67" t="s">
        <v>28</v>
      </c>
      <c r="B67" t="s">
        <v>19</v>
      </c>
      <c r="C67" t="s">
        <v>7</v>
      </c>
      <c r="D67">
        <v>56759</v>
      </c>
      <c r="E67" t="s">
        <v>8</v>
      </c>
    </row>
    <row r="68" spans="1:5" x14ac:dyDescent="0.3">
      <c r="A68" t="s">
        <v>16</v>
      </c>
      <c r="B68" t="s">
        <v>22</v>
      </c>
      <c r="C68" t="s">
        <v>11</v>
      </c>
      <c r="D68">
        <v>2782</v>
      </c>
      <c r="E68" t="s">
        <v>15</v>
      </c>
    </row>
    <row r="69" spans="1:5" x14ac:dyDescent="0.3">
      <c r="A69" t="s">
        <v>16</v>
      </c>
      <c r="B69" t="s">
        <v>23</v>
      </c>
      <c r="C69" t="s">
        <v>11</v>
      </c>
      <c r="D69">
        <v>3600</v>
      </c>
      <c r="E69" t="s">
        <v>25</v>
      </c>
    </row>
    <row r="70" spans="1:5" x14ac:dyDescent="0.3">
      <c r="A70" t="s">
        <v>9</v>
      </c>
      <c r="B70" t="s">
        <v>10</v>
      </c>
      <c r="C70" t="s">
        <v>11</v>
      </c>
      <c r="D70">
        <v>3512</v>
      </c>
      <c r="E70" t="s">
        <v>15</v>
      </c>
    </row>
    <row r="71" spans="1:5" x14ac:dyDescent="0.3">
      <c r="A71" t="s">
        <v>27</v>
      </c>
      <c r="B71" t="s">
        <v>17</v>
      </c>
      <c r="C71" t="s">
        <v>11</v>
      </c>
      <c r="D71">
        <v>488</v>
      </c>
      <c r="E71" t="s">
        <v>15</v>
      </c>
    </row>
    <row r="72" spans="1:5" x14ac:dyDescent="0.3">
      <c r="A72" t="s">
        <v>30</v>
      </c>
      <c r="B72" t="s">
        <v>19</v>
      </c>
      <c r="C72" t="s">
        <v>7</v>
      </c>
      <c r="D72">
        <v>65476</v>
      </c>
      <c r="E72" t="s">
        <v>8</v>
      </c>
    </row>
    <row r="73" spans="1:5" x14ac:dyDescent="0.3">
      <c r="A73" t="s">
        <v>5</v>
      </c>
      <c r="B73" t="s">
        <v>22</v>
      </c>
      <c r="C73" t="s">
        <v>11</v>
      </c>
      <c r="D73">
        <v>4481</v>
      </c>
      <c r="E73" t="s">
        <v>25</v>
      </c>
    </row>
    <row r="74" spans="1:5" x14ac:dyDescent="0.3">
      <c r="A74" t="s">
        <v>30</v>
      </c>
      <c r="B74" t="s">
        <v>14</v>
      </c>
      <c r="C74" t="s">
        <v>11</v>
      </c>
      <c r="D74">
        <v>1756</v>
      </c>
      <c r="E74" t="s">
        <v>20</v>
      </c>
    </row>
    <row r="75" spans="1:5" x14ac:dyDescent="0.3">
      <c r="A75" t="s">
        <v>12</v>
      </c>
      <c r="B75" t="s">
        <v>22</v>
      </c>
      <c r="C75" t="s">
        <v>11</v>
      </c>
      <c r="D75">
        <v>847</v>
      </c>
      <c r="E75" t="s">
        <v>25</v>
      </c>
    </row>
    <row r="76" spans="1:5" x14ac:dyDescent="0.3">
      <c r="A76" t="s">
        <v>24</v>
      </c>
      <c r="B76" t="s">
        <v>23</v>
      </c>
      <c r="C76" t="s">
        <v>11</v>
      </c>
      <c r="D76">
        <v>1556</v>
      </c>
      <c r="E76" t="s">
        <v>20</v>
      </c>
    </row>
    <row r="77" spans="1:5" x14ac:dyDescent="0.3">
      <c r="A77" t="s">
        <v>16</v>
      </c>
      <c r="B77" t="s">
        <v>19</v>
      </c>
      <c r="C77" t="s">
        <v>7</v>
      </c>
      <c r="D77">
        <v>41429</v>
      </c>
      <c r="E77" t="s">
        <v>15</v>
      </c>
    </row>
    <row r="78" spans="1:5" x14ac:dyDescent="0.3">
      <c r="A78" t="s">
        <v>12</v>
      </c>
      <c r="B78" t="s">
        <v>17</v>
      </c>
      <c r="C78" t="s">
        <v>11</v>
      </c>
      <c r="D78">
        <v>862</v>
      </c>
      <c r="E78" t="s">
        <v>25</v>
      </c>
    </row>
    <row r="79" spans="1:5" x14ac:dyDescent="0.3">
      <c r="A79" t="s">
        <v>28</v>
      </c>
      <c r="B79" t="s">
        <v>22</v>
      </c>
      <c r="C79" t="s">
        <v>11</v>
      </c>
      <c r="D79">
        <v>3736</v>
      </c>
      <c r="E79" t="s">
        <v>20</v>
      </c>
    </row>
    <row r="80" spans="1:5" x14ac:dyDescent="0.3">
      <c r="A80" t="s">
        <v>16</v>
      </c>
      <c r="B80" t="s">
        <v>26</v>
      </c>
      <c r="C80" t="s">
        <v>11</v>
      </c>
      <c r="D80">
        <v>4764</v>
      </c>
      <c r="E80" t="s">
        <v>8</v>
      </c>
    </row>
    <row r="81" spans="1:5" x14ac:dyDescent="0.3">
      <c r="A81" t="s">
        <v>28</v>
      </c>
      <c r="B81" t="s">
        <v>14</v>
      </c>
      <c r="C81" t="s">
        <v>11</v>
      </c>
      <c r="D81">
        <v>4395</v>
      </c>
      <c r="E81" t="s">
        <v>25</v>
      </c>
    </row>
    <row r="82" spans="1:5" x14ac:dyDescent="0.3">
      <c r="A82" t="s">
        <v>27</v>
      </c>
      <c r="B82" t="s">
        <v>6</v>
      </c>
      <c r="C82" t="s">
        <v>7</v>
      </c>
      <c r="D82">
        <v>20776</v>
      </c>
      <c r="E82" t="s">
        <v>20</v>
      </c>
    </row>
    <row r="83" spans="1:5" x14ac:dyDescent="0.3">
      <c r="A83" t="s">
        <v>18</v>
      </c>
      <c r="B83" t="s">
        <v>22</v>
      </c>
      <c r="C83" t="s">
        <v>11</v>
      </c>
      <c r="D83">
        <v>3544</v>
      </c>
      <c r="E83" t="s">
        <v>15</v>
      </c>
    </row>
    <row r="84" spans="1:5" x14ac:dyDescent="0.3">
      <c r="A84" t="s">
        <v>5</v>
      </c>
      <c r="B84" t="s">
        <v>23</v>
      </c>
      <c r="C84" t="s">
        <v>11</v>
      </c>
      <c r="D84">
        <v>3480</v>
      </c>
      <c r="E84" t="s">
        <v>20</v>
      </c>
    </row>
    <row r="85" spans="1:5" x14ac:dyDescent="0.3">
      <c r="A85" t="s">
        <v>27</v>
      </c>
      <c r="B85" t="s">
        <v>17</v>
      </c>
      <c r="C85" t="s">
        <v>11</v>
      </c>
      <c r="D85">
        <v>2089</v>
      </c>
      <c r="E85" t="s">
        <v>25</v>
      </c>
    </row>
    <row r="86" spans="1:5" x14ac:dyDescent="0.3">
      <c r="A86" t="s">
        <v>12</v>
      </c>
      <c r="B86" t="s">
        <v>31</v>
      </c>
      <c r="C86" t="s">
        <v>11</v>
      </c>
      <c r="D86">
        <v>2267</v>
      </c>
      <c r="E86" t="s">
        <v>20</v>
      </c>
    </row>
    <row r="87" spans="1:5" x14ac:dyDescent="0.3">
      <c r="A87" t="s">
        <v>13</v>
      </c>
      <c r="B87" t="s">
        <v>19</v>
      </c>
      <c r="C87" t="s">
        <v>7</v>
      </c>
      <c r="D87">
        <v>63297</v>
      </c>
      <c r="E87" t="s">
        <v>15</v>
      </c>
    </row>
    <row r="88" spans="1:5" x14ac:dyDescent="0.3">
      <c r="A88" t="s">
        <v>24</v>
      </c>
      <c r="B88" t="s">
        <v>17</v>
      </c>
      <c r="C88" t="s">
        <v>11</v>
      </c>
      <c r="D88">
        <v>4464</v>
      </c>
      <c r="E88" t="s">
        <v>25</v>
      </c>
    </row>
    <row r="89" spans="1:5" x14ac:dyDescent="0.3">
      <c r="A89" t="s">
        <v>9</v>
      </c>
      <c r="B89" t="s">
        <v>23</v>
      </c>
      <c r="C89" t="s">
        <v>11</v>
      </c>
      <c r="D89">
        <v>890</v>
      </c>
      <c r="E89" t="s">
        <v>15</v>
      </c>
    </row>
    <row r="90" spans="1:5" x14ac:dyDescent="0.3">
      <c r="A90" t="s">
        <v>13</v>
      </c>
      <c r="B90" t="s">
        <v>10</v>
      </c>
      <c r="C90" t="s">
        <v>11</v>
      </c>
      <c r="D90">
        <v>1215</v>
      </c>
      <c r="E90" t="s">
        <v>20</v>
      </c>
    </row>
    <row r="91" spans="1:5" x14ac:dyDescent="0.3">
      <c r="A91" t="s">
        <v>12</v>
      </c>
      <c r="B91" t="s">
        <v>14</v>
      </c>
      <c r="C91" t="s">
        <v>11</v>
      </c>
      <c r="D91">
        <v>2832</v>
      </c>
      <c r="E91" t="s">
        <v>25</v>
      </c>
    </row>
    <row r="92" spans="1:5" x14ac:dyDescent="0.3">
      <c r="A92" t="s">
        <v>16</v>
      </c>
      <c r="B92" t="s">
        <v>6</v>
      </c>
      <c r="C92" t="s">
        <v>7</v>
      </c>
      <c r="D92">
        <v>31428</v>
      </c>
      <c r="E92" t="s">
        <v>25</v>
      </c>
    </row>
    <row r="93" spans="1:5" x14ac:dyDescent="0.3">
      <c r="A93" t="s">
        <v>29</v>
      </c>
      <c r="B93" t="s">
        <v>10</v>
      </c>
      <c r="C93" t="s">
        <v>11</v>
      </c>
      <c r="D93">
        <v>4542</v>
      </c>
      <c r="E93" t="s">
        <v>15</v>
      </c>
    </row>
    <row r="94" spans="1:5" x14ac:dyDescent="0.3">
      <c r="A94" t="s">
        <v>16</v>
      </c>
      <c r="B94" t="s">
        <v>14</v>
      </c>
      <c r="C94" t="s">
        <v>11</v>
      </c>
      <c r="D94">
        <v>2041</v>
      </c>
      <c r="E94" t="s">
        <v>15</v>
      </c>
    </row>
    <row r="95" spans="1:5" x14ac:dyDescent="0.3">
      <c r="A95" t="s">
        <v>13</v>
      </c>
      <c r="B95" t="s">
        <v>31</v>
      </c>
      <c r="C95" t="s">
        <v>11</v>
      </c>
      <c r="D95">
        <v>818</v>
      </c>
      <c r="E95" t="s">
        <v>8</v>
      </c>
    </row>
    <row r="96" spans="1:5" x14ac:dyDescent="0.3">
      <c r="A96" t="s">
        <v>21</v>
      </c>
      <c r="B96" t="s">
        <v>23</v>
      </c>
      <c r="C96" t="s">
        <v>11</v>
      </c>
      <c r="D96">
        <v>1289</v>
      </c>
      <c r="E96" t="s">
        <v>20</v>
      </c>
    </row>
    <row r="97" spans="1:5" x14ac:dyDescent="0.3">
      <c r="A97" t="s">
        <v>30</v>
      </c>
      <c r="B97" t="s">
        <v>19</v>
      </c>
      <c r="C97" t="s">
        <v>7</v>
      </c>
      <c r="D97">
        <v>49458</v>
      </c>
      <c r="E97" t="s">
        <v>8</v>
      </c>
    </row>
    <row r="98" spans="1:5" x14ac:dyDescent="0.3">
      <c r="A98" t="s">
        <v>16</v>
      </c>
      <c r="B98" t="s">
        <v>14</v>
      </c>
      <c r="C98" t="s">
        <v>11</v>
      </c>
      <c r="D98">
        <v>3738</v>
      </c>
      <c r="E98" t="s">
        <v>8</v>
      </c>
    </row>
    <row r="99" spans="1:5" x14ac:dyDescent="0.3">
      <c r="A99" t="s">
        <v>30</v>
      </c>
      <c r="B99" t="s">
        <v>23</v>
      </c>
      <c r="C99" t="s">
        <v>11</v>
      </c>
      <c r="D99">
        <v>2955</v>
      </c>
      <c r="E99" t="s">
        <v>8</v>
      </c>
    </row>
    <row r="100" spans="1:5" x14ac:dyDescent="0.3">
      <c r="A100" t="s">
        <v>12</v>
      </c>
      <c r="B100" t="s">
        <v>14</v>
      </c>
      <c r="C100" t="s">
        <v>11</v>
      </c>
      <c r="D100">
        <v>3136</v>
      </c>
      <c r="E100" t="s">
        <v>25</v>
      </c>
    </row>
    <row r="101" spans="1:5" x14ac:dyDescent="0.3">
      <c r="A101" t="s">
        <v>28</v>
      </c>
      <c r="B101" t="s">
        <v>26</v>
      </c>
      <c r="C101" t="s">
        <v>11</v>
      </c>
      <c r="D101">
        <v>4065</v>
      </c>
      <c r="E101"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6F67-2C8F-4D08-AD7F-D5B023132412}">
  <dimension ref="A1:N77"/>
  <sheetViews>
    <sheetView topLeftCell="A52" workbookViewId="0">
      <selection activeCell="D58" sqref="D58:E71"/>
    </sheetView>
  </sheetViews>
  <sheetFormatPr defaultRowHeight="14.4" x14ac:dyDescent="0.3"/>
  <cols>
    <col min="1" max="1" width="12.5546875" bestFit="1" customWidth="1"/>
    <col min="2" max="2" width="14.44140625" bestFit="1" customWidth="1"/>
    <col min="3" max="3" width="13.21875" bestFit="1" customWidth="1"/>
    <col min="4" max="4" width="14.44140625" bestFit="1" customWidth="1"/>
    <col min="5" max="5" width="15.5546875" bestFit="1" customWidth="1"/>
    <col min="6" max="6" width="13.21875" bestFit="1" customWidth="1"/>
    <col min="7" max="7" width="6" bestFit="1" customWidth="1"/>
    <col min="8" max="8" width="9" bestFit="1" customWidth="1"/>
    <col min="9" max="9" width="10" bestFit="1" customWidth="1"/>
    <col min="10" max="10" width="6" bestFit="1" customWidth="1"/>
    <col min="11" max="11" width="7" bestFit="1" customWidth="1"/>
    <col min="12" max="12" width="9" bestFit="1" customWidth="1"/>
    <col min="13" max="13" width="9.109375" bestFit="1" customWidth="1"/>
    <col min="14" max="14" width="10.77734375" bestFit="1" customWidth="1"/>
    <col min="15" max="15" width="6" bestFit="1" customWidth="1"/>
    <col min="16" max="17" width="7" bestFit="1" customWidth="1"/>
    <col min="18" max="18" width="10.77734375" bestFit="1" customWidth="1"/>
  </cols>
  <sheetData>
    <row r="1" spans="1:6" x14ac:dyDescent="0.3">
      <c r="A1" s="2" t="s">
        <v>33</v>
      </c>
      <c r="B1" t="s">
        <v>32</v>
      </c>
    </row>
    <row r="2" spans="1:6" x14ac:dyDescent="0.3">
      <c r="A2" s="3" t="s">
        <v>16</v>
      </c>
      <c r="B2" s="1">
        <v>100899</v>
      </c>
      <c r="E2" s="2" t="s">
        <v>2</v>
      </c>
      <c r="F2" t="s">
        <v>36</v>
      </c>
    </row>
    <row r="3" spans="1:6" x14ac:dyDescent="0.3">
      <c r="A3" s="3" t="s">
        <v>28</v>
      </c>
      <c r="B3" s="1">
        <v>99287</v>
      </c>
    </row>
    <row r="4" spans="1:6" x14ac:dyDescent="0.3">
      <c r="A4" s="3" t="s">
        <v>12</v>
      </c>
      <c r="B4" s="1">
        <v>49677</v>
      </c>
      <c r="E4" s="2" t="s">
        <v>33</v>
      </c>
      <c r="F4" t="s">
        <v>32</v>
      </c>
    </row>
    <row r="5" spans="1:6" x14ac:dyDescent="0.3">
      <c r="A5" s="3" t="s">
        <v>13</v>
      </c>
      <c r="B5" s="1">
        <v>154957</v>
      </c>
      <c r="E5" s="3" t="s">
        <v>16</v>
      </c>
      <c r="F5" s="1">
        <v>100899</v>
      </c>
    </row>
    <row r="6" spans="1:6" x14ac:dyDescent="0.3">
      <c r="A6" s="3" t="s">
        <v>5</v>
      </c>
      <c r="B6" s="1">
        <v>93420</v>
      </c>
      <c r="E6" s="3" t="s">
        <v>28</v>
      </c>
      <c r="F6" s="1">
        <v>99287</v>
      </c>
    </row>
    <row r="7" spans="1:6" x14ac:dyDescent="0.3">
      <c r="A7" s="3" t="s">
        <v>21</v>
      </c>
      <c r="B7" s="1">
        <v>10064</v>
      </c>
      <c r="E7" s="3" t="s">
        <v>12</v>
      </c>
      <c r="F7" s="1">
        <v>49677</v>
      </c>
    </row>
    <row r="8" spans="1:6" x14ac:dyDescent="0.3">
      <c r="A8" s="3" t="s">
        <v>29</v>
      </c>
      <c r="B8" s="1">
        <v>76875</v>
      </c>
      <c r="E8" s="3" t="s">
        <v>13</v>
      </c>
      <c r="F8" s="1">
        <v>154957</v>
      </c>
    </row>
    <row r="9" spans="1:6" x14ac:dyDescent="0.3">
      <c r="A9" s="3" t="s">
        <v>9</v>
      </c>
      <c r="B9" s="1">
        <v>38405</v>
      </c>
      <c r="E9" s="3" t="s">
        <v>5</v>
      </c>
      <c r="F9" s="1">
        <v>93420</v>
      </c>
    </row>
    <row r="10" spans="1:6" x14ac:dyDescent="0.3">
      <c r="A10" s="3" t="s">
        <v>24</v>
      </c>
      <c r="B10" s="1">
        <v>13454</v>
      </c>
      <c r="E10" s="3" t="s">
        <v>21</v>
      </c>
      <c r="F10" s="1">
        <v>10064</v>
      </c>
    </row>
    <row r="11" spans="1:6" x14ac:dyDescent="0.3">
      <c r="A11" s="3" t="s">
        <v>27</v>
      </c>
      <c r="B11" s="1">
        <v>83938</v>
      </c>
      <c r="E11" s="3" t="s">
        <v>29</v>
      </c>
      <c r="F11" s="1">
        <v>76875</v>
      </c>
    </row>
    <row r="12" spans="1:6" x14ac:dyDescent="0.3">
      <c r="A12" s="3" t="s">
        <v>30</v>
      </c>
      <c r="B12" s="1">
        <v>156042</v>
      </c>
      <c r="E12" s="3" t="s">
        <v>9</v>
      </c>
      <c r="F12" s="1">
        <v>38405</v>
      </c>
    </row>
    <row r="13" spans="1:6" x14ac:dyDescent="0.3">
      <c r="A13" s="3" t="s">
        <v>18</v>
      </c>
      <c r="B13" s="1">
        <v>151337</v>
      </c>
      <c r="E13" s="3" t="s">
        <v>24</v>
      </c>
      <c r="F13" s="1">
        <v>13454</v>
      </c>
    </row>
    <row r="14" spans="1:6" x14ac:dyDescent="0.3">
      <c r="A14" s="3" t="s">
        <v>34</v>
      </c>
      <c r="B14" s="1">
        <v>1028355</v>
      </c>
      <c r="E14" s="3" t="s">
        <v>27</v>
      </c>
      <c r="F14" s="1">
        <v>83938</v>
      </c>
    </row>
    <row r="15" spans="1:6" x14ac:dyDescent="0.3">
      <c r="E15" s="3" t="s">
        <v>30</v>
      </c>
      <c r="F15" s="1">
        <v>156042</v>
      </c>
    </row>
    <row r="16" spans="1:6" x14ac:dyDescent="0.3">
      <c r="E16" s="3" t="s">
        <v>18</v>
      </c>
      <c r="F16" s="1">
        <v>151337</v>
      </c>
    </row>
    <row r="17" spans="1:6" x14ac:dyDescent="0.3">
      <c r="E17" s="3" t="s">
        <v>34</v>
      </c>
      <c r="F17" s="1">
        <v>1028355</v>
      </c>
    </row>
    <row r="18" spans="1:6" x14ac:dyDescent="0.3">
      <c r="A18" s="2" t="s">
        <v>33</v>
      </c>
      <c r="B18" t="s">
        <v>32</v>
      </c>
    </row>
    <row r="19" spans="1:6" x14ac:dyDescent="0.3">
      <c r="A19" s="3" t="s">
        <v>17</v>
      </c>
      <c r="B19" s="1">
        <v>33599</v>
      </c>
    </row>
    <row r="20" spans="1:6" x14ac:dyDescent="0.3">
      <c r="A20" s="3" t="s">
        <v>14</v>
      </c>
      <c r="B20" s="1">
        <v>42872</v>
      </c>
    </row>
    <row r="21" spans="1:6" x14ac:dyDescent="0.3">
      <c r="A21" s="3" t="s">
        <v>22</v>
      </c>
      <c r="B21" s="1">
        <v>31964</v>
      </c>
    </row>
    <row r="22" spans="1:6" x14ac:dyDescent="0.3">
      <c r="A22" s="3" t="s">
        <v>19</v>
      </c>
      <c r="B22" s="1">
        <v>440006</v>
      </c>
    </row>
    <row r="23" spans="1:6" x14ac:dyDescent="0.3">
      <c r="A23" s="3" t="s">
        <v>10</v>
      </c>
      <c r="B23" s="1">
        <v>37434</v>
      </c>
    </row>
    <row r="24" spans="1:6" x14ac:dyDescent="0.3">
      <c r="A24" s="3" t="s">
        <v>23</v>
      </c>
      <c r="B24" s="1">
        <v>14492</v>
      </c>
    </row>
    <row r="25" spans="1:6" x14ac:dyDescent="0.3">
      <c r="A25" s="3" t="s">
        <v>6</v>
      </c>
      <c r="B25" s="1">
        <v>381431</v>
      </c>
    </row>
    <row r="26" spans="1:6" x14ac:dyDescent="0.3">
      <c r="A26" s="3" t="s">
        <v>31</v>
      </c>
      <c r="B26" s="1">
        <v>18811</v>
      </c>
    </row>
    <row r="27" spans="1:6" x14ac:dyDescent="0.3">
      <c r="A27" s="3" t="s">
        <v>26</v>
      </c>
      <c r="B27" s="1">
        <v>27746</v>
      </c>
    </row>
    <row r="28" spans="1:6" x14ac:dyDescent="0.3">
      <c r="A28" s="3" t="s">
        <v>34</v>
      </c>
      <c r="B28" s="1">
        <v>1028355</v>
      </c>
    </row>
    <row r="30" spans="1:6" x14ac:dyDescent="0.3">
      <c r="A30" s="2" t="s">
        <v>33</v>
      </c>
      <c r="B30" t="s">
        <v>32</v>
      </c>
    </row>
    <row r="31" spans="1:6" x14ac:dyDescent="0.3">
      <c r="A31" s="3" t="s">
        <v>11</v>
      </c>
      <c r="B31" s="1">
        <v>206918</v>
      </c>
      <c r="E31">
        <f>GETPIVOTDATA("Amount",A31,"Type","Expense")</f>
        <v>206918</v>
      </c>
    </row>
    <row r="32" spans="1:6" x14ac:dyDescent="0.3">
      <c r="A32" s="3" t="s">
        <v>7</v>
      </c>
      <c r="B32" s="1">
        <v>821437</v>
      </c>
    </row>
    <row r="33" spans="1:5" x14ac:dyDescent="0.3">
      <c r="A33" s="3" t="s">
        <v>34</v>
      </c>
      <c r="B33" s="1">
        <v>1028355</v>
      </c>
    </row>
    <row r="34" spans="1:5" x14ac:dyDescent="0.3">
      <c r="A34" t="s">
        <v>2</v>
      </c>
      <c r="B34" t="s">
        <v>36</v>
      </c>
      <c r="E34">
        <f>GETPIVOTDATA("Amount",Sheet1!A32,"Type","Income")</f>
        <v>821437</v>
      </c>
    </row>
    <row r="36" spans="1:5" x14ac:dyDescent="0.3">
      <c r="A36" s="2" t="s">
        <v>33</v>
      </c>
      <c r="B36" t="s">
        <v>32</v>
      </c>
      <c r="E36">
        <f>GETPIVOTDATA("Amount",A32,"Type","Income") - GETPIVOTDATA("Amount",A32,"Type","Expense")</f>
        <v>614519</v>
      </c>
    </row>
    <row r="37" spans="1:5" x14ac:dyDescent="0.3">
      <c r="A37" s="3" t="s">
        <v>8</v>
      </c>
      <c r="B37" s="1">
        <v>389839</v>
      </c>
    </row>
    <row r="38" spans="1:5" x14ac:dyDescent="0.3">
      <c r="A38" s="3" t="s">
        <v>15</v>
      </c>
      <c r="B38" s="1">
        <v>260627</v>
      </c>
    </row>
    <row r="39" spans="1:5" x14ac:dyDescent="0.3">
      <c r="A39" s="3" t="s">
        <v>20</v>
      </c>
      <c r="B39" s="1">
        <v>160585</v>
      </c>
    </row>
    <row r="40" spans="1:5" x14ac:dyDescent="0.3">
      <c r="A40" s="3" t="s">
        <v>25</v>
      </c>
      <c r="B40" s="1">
        <v>217304</v>
      </c>
    </row>
    <row r="41" spans="1:5" x14ac:dyDescent="0.3">
      <c r="A41" s="3" t="s">
        <v>34</v>
      </c>
      <c r="B41" s="1">
        <v>1028355</v>
      </c>
    </row>
    <row r="46" spans="1:5" x14ac:dyDescent="0.3">
      <c r="A46" s="2" t="s">
        <v>33</v>
      </c>
      <c r="B46" t="s">
        <v>32</v>
      </c>
    </row>
    <row r="47" spans="1:5" x14ac:dyDescent="0.3">
      <c r="A47" s="3" t="s">
        <v>11</v>
      </c>
      <c r="B47" s="1">
        <v>206918</v>
      </c>
    </row>
    <row r="48" spans="1:5" x14ac:dyDescent="0.3">
      <c r="A48" s="3" t="s">
        <v>7</v>
      </c>
      <c r="B48" s="1">
        <v>821437</v>
      </c>
    </row>
    <row r="49" spans="1:14" x14ac:dyDescent="0.3">
      <c r="A49" s="3" t="s">
        <v>34</v>
      </c>
      <c r="B49" s="1">
        <v>1028355</v>
      </c>
    </row>
    <row r="50" spans="1:14" x14ac:dyDescent="0.3">
      <c r="A50" s="2" t="s">
        <v>2</v>
      </c>
      <c r="B50" t="s">
        <v>36</v>
      </c>
    </row>
    <row r="52" spans="1:14" x14ac:dyDescent="0.3">
      <c r="A52" s="2" t="s">
        <v>33</v>
      </c>
      <c r="B52" t="s">
        <v>32</v>
      </c>
    </row>
    <row r="53" spans="1:14" x14ac:dyDescent="0.3">
      <c r="A53" s="3" t="s">
        <v>13</v>
      </c>
      <c r="B53" s="1">
        <v>154957</v>
      </c>
    </row>
    <row r="54" spans="1:14" x14ac:dyDescent="0.3">
      <c r="A54" s="3" t="s">
        <v>30</v>
      </c>
      <c r="B54" s="1">
        <v>156042</v>
      </c>
    </row>
    <row r="55" spans="1:14" x14ac:dyDescent="0.3">
      <c r="A55" s="3" t="s">
        <v>18</v>
      </c>
      <c r="B55" s="1">
        <v>151337</v>
      </c>
    </row>
    <row r="56" spans="1:14" x14ac:dyDescent="0.3">
      <c r="A56" s="3" t="s">
        <v>34</v>
      </c>
      <c r="B56" s="1">
        <v>462336</v>
      </c>
    </row>
    <row r="58" spans="1:14" x14ac:dyDescent="0.3">
      <c r="A58" s="2" t="s">
        <v>33</v>
      </c>
      <c r="B58" t="s">
        <v>32</v>
      </c>
      <c r="D58" s="2" t="s">
        <v>32</v>
      </c>
      <c r="E58" s="2" t="s">
        <v>35</v>
      </c>
    </row>
    <row r="59" spans="1:14" x14ac:dyDescent="0.3">
      <c r="A59" s="3" t="s">
        <v>16</v>
      </c>
      <c r="B59" s="1">
        <v>100899</v>
      </c>
      <c r="D59" s="2" t="s">
        <v>33</v>
      </c>
      <c r="E59" t="s">
        <v>17</v>
      </c>
      <c r="F59" t="s">
        <v>14</v>
      </c>
      <c r="G59" t="s">
        <v>22</v>
      </c>
      <c r="H59" t="s">
        <v>19</v>
      </c>
      <c r="I59" t="s">
        <v>10</v>
      </c>
      <c r="J59" t="s">
        <v>23</v>
      </c>
      <c r="K59" t="s">
        <v>6</v>
      </c>
      <c r="L59" t="s">
        <v>31</v>
      </c>
      <c r="M59" t="s">
        <v>26</v>
      </c>
      <c r="N59" t="s">
        <v>34</v>
      </c>
    </row>
    <row r="60" spans="1:14" x14ac:dyDescent="0.3">
      <c r="A60" s="3" t="s">
        <v>28</v>
      </c>
      <c r="B60" s="1">
        <v>99287</v>
      </c>
      <c r="D60" s="3" t="s">
        <v>16</v>
      </c>
      <c r="E60" s="1">
        <v>1632</v>
      </c>
      <c r="F60" s="1">
        <v>5779</v>
      </c>
      <c r="G60" s="1">
        <v>2782</v>
      </c>
      <c r="H60" s="1">
        <v>41429</v>
      </c>
      <c r="I60" s="1">
        <v>7484</v>
      </c>
      <c r="J60" s="1">
        <v>3896</v>
      </c>
      <c r="K60" s="1">
        <v>31428</v>
      </c>
      <c r="L60" s="1"/>
      <c r="M60" s="1">
        <v>6469</v>
      </c>
      <c r="N60" s="1">
        <v>100899</v>
      </c>
    </row>
    <row r="61" spans="1:14" x14ac:dyDescent="0.3">
      <c r="A61" s="3" t="s">
        <v>13</v>
      </c>
      <c r="B61" s="1">
        <v>154957</v>
      </c>
      <c r="D61" s="3" t="s">
        <v>28</v>
      </c>
      <c r="E61" s="1"/>
      <c r="F61" s="1">
        <v>4395</v>
      </c>
      <c r="G61" s="1">
        <v>4314</v>
      </c>
      <c r="H61" s="1">
        <v>79391</v>
      </c>
      <c r="I61" s="1">
        <v>3453</v>
      </c>
      <c r="J61" s="1"/>
      <c r="K61" s="1"/>
      <c r="L61" s="1"/>
      <c r="M61" s="1">
        <v>7734</v>
      </c>
      <c r="N61" s="1">
        <v>99287</v>
      </c>
    </row>
    <row r="62" spans="1:14" x14ac:dyDescent="0.3">
      <c r="A62" s="3" t="s">
        <v>30</v>
      </c>
      <c r="B62" s="1">
        <v>156042</v>
      </c>
      <c r="D62" s="3" t="s">
        <v>12</v>
      </c>
      <c r="E62" s="1">
        <v>5106</v>
      </c>
      <c r="F62" s="1">
        <v>12386</v>
      </c>
      <c r="G62" s="1">
        <v>3227</v>
      </c>
      <c r="H62" s="1"/>
      <c r="I62" s="1">
        <v>4294</v>
      </c>
      <c r="J62" s="1"/>
      <c r="K62" s="1">
        <v>21031</v>
      </c>
      <c r="L62" s="1">
        <v>2267</v>
      </c>
      <c r="M62" s="1">
        <v>1366</v>
      </c>
      <c r="N62" s="1">
        <v>49677</v>
      </c>
    </row>
    <row r="63" spans="1:14" x14ac:dyDescent="0.3">
      <c r="A63" s="3" t="s">
        <v>18</v>
      </c>
      <c r="B63" s="1">
        <v>151337</v>
      </c>
      <c r="D63" s="3" t="s">
        <v>13</v>
      </c>
      <c r="E63" s="1">
        <v>941</v>
      </c>
      <c r="F63" s="1">
        <v>3855</v>
      </c>
      <c r="G63" s="1">
        <v>4393</v>
      </c>
      <c r="H63" s="1">
        <v>63297</v>
      </c>
      <c r="I63" s="1">
        <v>1215</v>
      </c>
      <c r="J63" s="1">
        <v>426</v>
      </c>
      <c r="K63" s="1">
        <v>71542</v>
      </c>
      <c r="L63" s="1">
        <v>6288</v>
      </c>
      <c r="M63" s="1">
        <v>3000</v>
      </c>
      <c r="N63" s="1">
        <v>154957</v>
      </c>
    </row>
    <row r="64" spans="1:14" x14ac:dyDescent="0.3">
      <c r="A64" s="3" t="s">
        <v>34</v>
      </c>
      <c r="B64" s="1">
        <v>662522</v>
      </c>
      <c r="D64" s="3" t="s">
        <v>5</v>
      </c>
      <c r="E64" s="1">
        <v>3903</v>
      </c>
      <c r="F64" s="1">
        <v>2834</v>
      </c>
      <c r="G64" s="1">
        <v>7893</v>
      </c>
      <c r="H64" s="1"/>
      <c r="I64" s="1">
        <v>1655</v>
      </c>
      <c r="J64" s="1">
        <v>3480</v>
      </c>
      <c r="K64" s="1">
        <v>66014</v>
      </c>
      <c r="L64" s="1">
        <v>3596</v>
      </c>
      <c r="M64" s="1">
        <v>4045</v>
      </c>
      <c r="N64" s="1">
        <v>93420</v>
      </c>
    </row>
    <row r="65" spans="2:14" x14ac:dyDescent="0.3">
      <c r="D65" s="3" t="s">
        <v>21</v>
      </c>
      <c r="E65" s="1"/>
      <c r="F65" s="1"/>
      <c r="G65" s="1">
        <v>5416</v>
      </c>
      <c r="H65" s="1"/>
      <c r="I65" s="1">
        <v>3359</v>
      </c>
      <c r="J65" s="1">
        <v>1289</v>
      </c>
      <c r="K65" s="1"/>
      <c r="L65" s="1"/>
      <c r="M65" s="1"/>
      <c r="N65" s="1">
        <v>10064</v>
      </c>
    </row>
    <row r="66" spans="2:14" x14ac:dyDescent="0.3">
      <c r="D66" s="3" t="s">
        <v>29</v>
      </c>
      <c r="E66" s="1">
        <v>5161</v>
      </c>
      <c r="F66" s="1">
        <v>2900</v>
      </c>
      <c r="G66" s="1"/>
      <c r="H66" s="1"/>
      <c r="I66" s="1">
        <v>9094</v>
      </c>
      <c r="J66" s="1"/>
      <c r="K66" s="1">
        <v>59720</v>
      </c>
      <c r="L66" s="1"/>
      <c r="M66" s="1"/>
      <c r="N66" s="1">
        <v>76875</v>
      </c>
    </row>
    <row r="67" spans="2:14" x14ac:dyDescent="0.3">
      <c r="D67" s="3" t="s">
        <v>9</v>
      </c>
      <c r="E67" s="1">
        <v>4864</v>
      </c>
      <c r="F67" s="1">
        <v>2802</v>
      </c>
      <c r="G67" s="1"/>
      <c r="H67" s="1">
        <v>20168</v>
      </c>
      <c r="I67" s="1">
        <v>6880</v>
      </c>
      <c r="J67" s="1">
        <v>890</v>
      </c>
      <c r="K67" s="1"/>
      <c r="L67" s="1">
        <v>1992</v>
      </c>
      <c r="M67" s="1">
        <v>809</v>
      </c>
      <c r="N67" s="1">
        <v>38405</v>
      </c>
    </row>
    <row r="68" spans="2:14" x14ac:dyDescent="0.3">
      <c r="D68" s="3" t="s">
        <v>24</v>
      </c>
      <c r="E68" s="1">
        <v>9415</v>
      </c>
      <c r="F68" s="1">
        <v>2088</v>
      </c>
      <c r="G68" s="1">
        <v>395</v>
      </c>
      <c r="H68" s="1"/>
      <c r="I68" s="1"/>
      <c r="J68" s="1">
        <v>1556</v>
      </c>
      <c r="K68" s="1"/>
      <c r="L68" s="1"/>
      <c r="M68" s="1"/>
      <c r="N68" s="1">
        <v>13454</v>
      </c>
    </row>
    <row r="69" spans="2:14" x14ac:dyDescent="0.3">
      <c r="D69" s="3" t="s">
        <v>27</v>
      </c>
      <c r="E69" s="1">
        <v>2577</v>
      </c>
      <c r="F69" s="1"/>
      <c r="G69" s="1"/>
      <c r="H69" s="1"/>
      <c r="I69" s="1"/>
      <c r="J69" s="1"/>
      <c r="K69" s="1">
        <v>77114</v>
      </c>
      <c r="L69" s="1">
        <v>4247</v>
      </c>
      <c r="M69" s="1"/>
      <c r="N69" s="1">
        <v>83938</v>
      </c>
    </row>
    <row r="70" spans="2:14" x14ac:dyDescent="0.3">
      <c r="D70" s="3" t="s">
        <v>30</v>
      </c>
      <c r="E70" s="1"/>
      <c r="F70" s="1">
        <v>5833</v>
      </c>
      <c r="G70" s="1"/>
      <c r="H70" s="1">
        <v>146833</v>
      </c>
      <c r="I70" s="1"/>
      <c r="J70" s="1">
        <v>2955</v>
      </c>
      <c r="K70" s="1"/>
      <c r="L70" s="1">
        <v>421</v>
      </c>
      <c r="M70" s="1"/>
      <c r="N70" s="1">
        <v>156042</v>
      </c>
    </row>
    <row r="71" spans="2:14" x14ac:dyDescent="0.3">
      <c r="D71" s="3" t="s">
        <v>18</v>
      </c>
      <c r="E71" s="1"/>
      <c r="F71" s="1"/>
      <c r="G71" s="1">
        <v>3544</v>
      </c>
      <c r="H71" s="1">
        <v>88888</v>
      </c>
      <c r="I71" s="1"/>
      <c r="J71" s="1"/>
      <c r="K71" s="1">
        <v>54582</v>
      </c>
      <c r="L71" s="1"/>
      <c r="M71" s="1">
        <v>4323</v>
      </c>
      <c r="N71" s="1">
        <v>151337</v>
      </c>
    </row>
    <row r="72" spans="2:14" x14ac:dyDescent="0.3">
      <c r="D72" s="3" t="s">
        <v>34</v>
      </c>
      <c r="E72" s="1">
        <v>33599</v>
      </c>
      <c r="F72" s="1">
        <v>42872</v>
      </c>
      <c r="G72" s="1">
        <v>31964</v>
      </c>
      <c r="H72" s="1">
        <v>440006</v>
      </c>
      <c r="I72" s="1">
        <v>37434</v>
      </c>
      <c r="J72" s="1">
        <v>14492</v>
      </c>
      <c r="K72" s="1">
        <v>381431</v>
      </c>
      <c r="L72" s="1">
        <v>18811</v>
      </c>
      <c r="M72" s="1">
        <v>27746</v>
      </c>
      <c r="N72" s="1">
        <v>1028355</v>
      </c>
    </row>
    <row r="75" spans="2:14" x14ac:dyDescent="0.3">
      <c r="B75">
        <f>SUMIF(E:E,"Expense",F:F)</f>
        <v>0</v>
      </c>
    </row>
    <row r="76" spans="2:14" x14ac:dyDescent="0.3">
      <c r="B76">
        <f>SUMIF(E:E,"Expense",F:F)</f>
        <v>0</v>
      </c>
    </row>
    <row r="77" spans="2:14" x14ac:dyDescent="0.3">
      <c r="B77">
        <f>SUMIF(E:E,"Expense",F:F)</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K3:S5"/>
  <sheetViews>
    <sheetView showGridLines="0" tabSelected="1" zoomScale="70" workbookViewId="0">
      <selection sqref="A1:XFD1048576"/>
    </sheetView>
  </sheetViews>
  <sheetFormatPr defaultRowHeight="14.4" x14ac:dyDescent="0.3"/>
  <cols>
    <col min="1" max="2" width="8.88671875" style="4"/>
    <col min="3" max="3" width="27.33203125" style="4" customWidth="1"/>
    <col min="4" max="5" width="8.88671875" style="4"/>
    <col min="6" max="6" width="25.6640625" style="4" customWidth="1"/>
    <col min="7" max="7" width="8.88671875" style="4"/>
    <col min="8" max="8" width="15.5546875" style="4" customWidth="1"/>
    <col min="9" max="9" width="8.88671875" style="4"/>
    <col min="10" max="10" width="10.21875" style="4" customWidth="1"/>
    <col min="11" max="11" width="0.44140625" style="4" customWidth="1"/>
    <col min="12" max="12" width="28.6640625" style="4" customWidth="1"/>
    <col min="13" max="13" width="8.88671875" style="4"/>
    <col min="14" max="14" width="27.109375" style="4" customWidth="1"/>
    <col min="15" max="15" width="8.88671875" style="4"/>
    <col min="16" max="16" width="27.109375" style="4" customWidth="1"/>
    <col min="17" max="16384" width="8.88671875" style="4"/>
  </cols>
  <sheetData>
    <row r="3" spans="11:19" ht="15" thickBot="1" x14ac:dyDescent="0.35">
      <c r="S3" s="5"/>
    </row>
    <row r="4" spans="11:19" ht="29.4" thickBot="1" x14ac:dyDescent="0.6">
      <c r="K4" s="6" t="s">
        <v>39</v>
      </c>
      <c r="L4" s="7"/>
      <c r="N4" s="8" t="s">
        <v>37</v>
      </c>
      <c r="P4" s="8" t="s">
        <v>38</v>
      </c>
      <c r="S4" s="9"/>
    </row>
    <row r="5" spans="11:19" ht="15" thickBot="1" x14ac:dyDescent="0.35">
      <c r="L5" s="7">
        <f>Sheet1!E34</f>
        <v>821437</v>
      </c>
      <c r="N5" s="7">
        <f>Sheet1!E31</f>
        <v>206918</v>
      </c>
      <c r="P5" s="7">
        <f>Sheet1!E36</f>
        <v>614519</v>
      </c>
      <c r="R5" s="5"/>
      <c r="S5" s="5"/>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Sheet1</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shirin shahana</cp:lastModifiedBy>
  <dcterms:created xsi:type="dcterms:W3CDTF">2026-04-17T14:21:54Z</dcterms:created>
  <dcterms:modified xsi:type="dcterms:W3CDTF">2026-04-17T18:05:41Z</dcterms:modified>
</cp:coreProperties>
</file>